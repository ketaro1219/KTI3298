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defaultThemeVersion="124226"/>
  <mc:AlternateContent xmlns:mc="http://schemas.openxmlformats.org/markup-compatibility/2006">
    <mc:Choice Requires="x15">
      <x15ac:absPath xmlns:x15ac="http://schemas.microsoft.com/office/spreadsheetml/2010/11/ac" url="C:\Program Files (x86)\국가유산수리 설계대가 계산 프로그램\data\"/>
    </mc:Choice>
  </mc:AlternateContent>
  <xr:revisionPtr revIDLastSave="0" documentId="13_ncr:1_{8A1559B0-98F0-4011-B76E-2EC20BF94DDB}" xr6:coauthVersionLast="47" xr6:coauthVersionMax="47" xr10:uidLastSave="{00000000-0000-0000-0000-000000000000}"/>
  <bookViews>
    <workbookView xWindow="-120" yWindow="-120" windowWidth="38640" windowHeight="15720" tabRatio="892" activeTab="4" xr2:uid="{00000000-000D-0000-FFFF-FFFF00000000}"/>
  </bookViews>
  <sheets>
    <sheet name="data" sheetId="1" r:id="rId1"/>
    <sheet name="겉표지" sheetId="2" r:id="rId2"/>
    <sheet name="표지" sheetId="3" r:id="rId3"/>
    <sheet name="예정공정표" sheetId="4" r:id="rId4"/>
    <sheet name="용역 설명서" sheetId="5" r:id="rId5"/>
    <sheet name="Sheet3" sheetId="6" state="hidden" r:id="rId6"/>
    <sheet name="설계용역내역서" sheetId="7" r:id="rId7"/>
    <sheet name="산출근거표지" sheetId="8" r:id="rId8"/>
    <sheet name="산근1(실시설계요율)" sheetId="9" r:id="rId9"/>
    <sheet name="산근2(실시설계요율 3천 이하)" sheetId="10" state="hidden" r:id="rId10"/>
    <sheet name="기초1(요율적용기준) " sheetId="11" r:id="rId11"/>
    <sheet name="산근2(손해보험공제요율)" sheetId="15" r:id="rId12"/>
    <sheet name="기초2(손해배상공제요율)" sheetId="13" r:id="rId13"/>
    <sheet name="산근1(현황측량)" sheetId="14" state="hidden" r:id="rId14"/>
  </sheets>
  <definedNames>
    <definedName name="__________a122" localSheetId="11" hidden="1">{#N/A,#N/A,FALSE,"속도"}</definedName>
    <definedName name="__________a122" hidden="1">{#N/A,#N/A,FALSE,"속도"}</definedName>
    <definedName name="_________a122" localSheetId="11" hidden="1">{#N/A,#N/A,FALSE,"속도"}</definedName>
    <definedName name="_________a122" hidden="1">{#N/A,#N/A,FALSE,"속도"}</definedName>
    <definedName name="________a122" localSheetId="11" hidden="1">{#N/A,#N/A,FALSE,"속도"}</definedName>
    <definedName name="________a122" hidden="1">{#N/A,#N/A,FALSE,"속도"}</definedName>
    <definedName name="_______a122" localSheetId="11" hidden="1">{#N/A,#N/A,FALSE,"속도"}</definedName>
    <definedName name="_______a122" hidden="1">{#N/A,#N/A,FALSE,"속도"}</definedName>
    <definedName name="_____a122" localSheetId="11" hidden="1">{#N/A,#N/A,FALSE,"속도"}</definedName>
    <definedName name="_____a122" hidden="1">{#N/A,#N/A,FALSE,"속도"}</definedName>
    <definedName name="____a122" localSheetId="11" hidden="1">{#N/A,#N/A,FALSE,"속도"}</definedName>
    <definedName name="____a122" hidden="1">{#N/A,#N/A,FALSE,"속도"}</definedName>
    <definedName name="____KEY2" localSheetId="9" hidden="1">#REF!</definedName>
    <definedName name="____KEY2" localSheetId="2" hidden="1">#REF!</definedName>
    <definedName name="____KEY2" hidden="1">#REF!</definedName>
    <definedName name="___a122" localSheetId="11" hidden="1">{#N/A,#N/A,FALSE,"속도"}</definedName>
    <definedName name="___a122" hidden="1">{#N/A,#N/A,FALSE,"속도"}</definedName>
    <definedName name="__123Graph_B그래프1" hidden="1">#REF!</definedName>
    <definedName name="__a122" localSheetId="11" hidden="1">{#N/A,#N/A,FALSE,"속도"}</definedName>
    <definedName name="__a122" hidden="1">{#N/A,#N/A,FALSE,"속도"}</definedName>
    <definedName name="__D25"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_D2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_IntlFixup" hidden="1">TRUE</definedName>
    <definedName name="__P3" localSheetId="11" hidden="1">{#N/A,#N/A,FALSE,"배수1"}</definedName>
    <definedName name="__P3" hidden="1">{#N/A,#N/A,FALSE,"배수1"}</definedName>
    <definedName name="__P5" localSheetId="11" hidden="1">{#N/A,#N/A,FALSE,"배수1"}</definedName>
    <definedName name="__P5" hidden="1">{#N/A,#N/A,FALSE,"배수1"}</definedName>
    <definedName name="__P6" localSheetId="11" hidden="1">{#N/A,#N/A,FALSE,"2~8번"}</definedName>
    <definedName name="__P6" hidden="1">{#N/A,#N/A,FALSE,"2~8번"}</definedName>
    <definedName name="__q45" localSheetId="11" hidden="1">{"'용역비'!$A$4:$C$8"}</definedName>
    <definedName name="__q45" hidden="1">{"'용역비'!$A$4:$C$8"}</definedName>
    <definedName name="__S3" localSheetId="11" hidden="1">{#N/A,#N/A,FALSE,"포장2"}</definedName>
    <definedName name="__S3" hidden="1">{#N/A,#N/A,FALSE,"포장2"}</definedName>
    <definedName name="_10_0_0_F" localSheetId="11" hidden="1">#REF!</definedName>
    <definedName name="_10_0_0_F" hidden="1">#REF!</definedName>
    <definedName name="_11_0_0_S" localSheetId="11" hidden="1">#REF!</definedName>
    <definedName name="_11_0_0_S" hidden="1">#REF!</definedName>
    <definedName name="_13_2_0_Parse" localSheetId="11" hidden="1">#REF!</definedName>
    <definedName name="_13_2_0_Parse" hidden="1">#REF!</definedName>
    <definedName name="_1F" localSheetId="11" hidden="1">#REF!</definedName>
    <definedName name="_1F" hidden="1">#REF!</definedName>
    <definedName name="_21a122_" localSheetId="11" hidden="1">{#N/A,#N/A,FALSE,"속도"}</definedName>
    <definedName name="_21a122_" hidden="1">{#N/A,#N/A,FALSE,"속도"}</definedName>
    <definedName name="_2F" localSheetId="11" hidden="1">#REF!</definedName>
    <definedName name="_2F" hidden="1">#REF!</definedName>
    <definedName name="_3S" localSheetId="11" hidden="1">#REF!</definedName>
    <definedName name="_3S" hidden="1">#REF!</definedName>
    <definedName name="_4S" localSheetId="11" hidden="1">#REF!</definedName>
    <definedName name="_4S" hidden="1">#REF!</definedName>
    <definedName name="_5_0_F" hidden="1">#REF!</definedName>
    <definedName name="_6_0_S" hidden="1">#REF!</definedName>
    <definedName name="_6q45_" localSheetId="11" hidden="1">{"'용역비'!$A$4:$C$8"}</definedName>
    <definedName name="_6q45_" hidden="1">{"'용역비'!$A$4:$C$8"}</definedName>
    <definedName name="_7_0_F" hidden="1">#REF!</definedName>
    <definedName name="_8_0_S" localSheetId="11" hidden="1">#REF!</definedName>
    <definedName name="_8_0_S" hidden="1">#REF!</definedName>
    <definedName name="_9_0_S" localSheetId="11" hidden="1">#REF!</definedName>
    <definedName name="_9_0_S" hidden="1">#REF!</definedName>
    <definedName name="_a122" localSheetId="11" hidden="1">{#N/A,#N/A,FALSE,"속도"}</definedName>
    <definedName name="_a122" hidden="1">{#N/A,#N/A,FALSE,"속도"}</definedName>
    <definedName name="_Dist_Bin" localSheetId="11" hidden="1">#REF!</definedName>
    <definedName name="_Dist_Bin" localSheetId="9" hidden="1">#REF!</definedName>
    <definedName name="_Dist_Bin" hidden="1">#REF!</definedName>
    <definedName name="_Dist_Values" localSheetId="11" hidden="1">#REF!</definedName>
    <definedName name="_Dist_Values" localSheetId="9" hidden="1">#REF!</definedName>
    <definedName name="_Dist_Values" hidden="1">#REF!</definedName>
    <definedName name="_ECS1"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 localSheetId="9" hidden="1">#REF!</definedName>
    <definedName name="_Fill" hidden="1">#REF!</definedName>
    <definedName name="_xlnm._FilterDatabase" localSheetId="8" hidden="1">'산근1(실시설계요율)'!$A$1:$AH$26</definedName>
    <definedName name="_xlnm._FilterDatabase" localSheetId="9" hidden="1">#REF!</definedName>
    <definedName name="_xlnm._FilterDatabase" hidden="1">#REF!</definedName>
    <definedName name="_Key1" localSheetId="11" hidden="1">#REF!</definedName>
    <definedName name="_Key1" localSheetId="9" hidden="1">#REF!</definedName>
    <definedName name="_Key1" hidden="1">#REF!</definedName>
    <definedName name="_Key2" localSheetId="11" hidden="1">#REF!</definedName>
    <definedName name="_Key2" localSheetId="9" hidden="1">#REF!</definedName>
    <definedName name="_Key2" hidden="1">#REF!</definedName>
    <definedName name="_MatMult_A" localSheetId="11" hidden="1">#REF!</definedName>
    <definedName name="_MatMult_A" hidden="1">#REF!</definedName>
    <definedName name="_Order1" hidden="1">255</definedName>
    <definedName name="_Order2" hidden="1">255</definedName>
    <definedName name="_Parse_In" localSheetId="9" hidden="1">#REF!</definedName>
    <definedName name="_Parse_In" hidden="1">#REF!</definedName>
    <definedName name="_Parse_Out" localSheetId="9" hidden="1">#REF!</definedName>
    <definedName name="_Parse_Out" hidden="1">#REF!</definedName>
    <definedName name="_q45" localSheetId="11" hidden="1">{"'용역비'!$A$4:$C$8"}</definedName>
    <definedName name="_q45" hidden="1">{"'용역비'!$A$4:$C$8"}</definedName>
    <definedName name="_Regression_Int" hidden="1">1</definedName>
    <definedName name="_Regression_Out" localSheetId="9" hidden="1">#REF!</definedName>
    <definedName name="_Regression_Out" hidden="1">#REF!</definedName>
    <definedName name="_Regression_X" localSheetId="9" hidden="1">#REF!</definedName>
    <definedName name="_Regression_X" hidden="1">#REF!</definedName>
    <definedName name="_Regression_Y" localSheetId="9" hidden="1">#REF!</definedName>
    <definedName name="_Regression_Y" hidden="1">#REF!</definedName>
    <definedName name="_Sort" localSheetId="11" hidden="1">#REF!</definedName>
    <definedName name="_Sort" localSheetId="9" hidden="1">#REF!</definedName>
    <definedName name="_Sort" hidden="1">#REF!</definedName>
    <definedName name="_Table1_In1" localSheetId="11" hidden="1">#REF!</definedName>
    <definedName name="_Table1_In1" localSheetId="9" hidden="1">#REF!</definedName>
    <definedName name="_Table1_In1" hidden="1">#REF!</definedName>
    <definedName name="_Table1_Out" localSheetId="9" hidden="1">#REF!</definedName>
    <definedName name="_Table1_Out" hidden="1">#REF!</definedName>
    <definedName name="aa" hidden="1">#REF!</definedName>
    <definedName name="aaaaaaaaaa" localSheetId="11" hidden="1">{#N/A,#N/A,FALSE,"운반시간"}</definedName>
    <definedName name="aaaaaaaaaa" hidden="1">{#N/A,#N/A,FALSE,"운반시간"}</definedName>
    <definedName name="aaaae" localSheetId="11" hidden="1">{#N/A,#N/A,FALSE,"골재소요량";#N/A,#N/A,FALSE,"골재소요량"}</definedName>
    <definedName name="aaaae" hidden="1">{#N/A,#N/A,FALSE,"골재소요량";#N/A,#N/A,FALSE,"골재소요량"}</definedName>
    <definedName name="AccessDatabase" hidden="1">"D:\_genkou\excel97\sample\支店集計作業\本社合計2.mdb"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fasd" localSheetId="11" hidden="1">{#N/A,#N/A,FALSE,"단가표지"}</definedName>
    <definedName name="afasd" hidden="1">{#N/A,#N/A,FALSE,"단가표지"}</definedName>
    <definedName name="afd" localSheetId="11" hidden="1">{#N/A,#N/A,FALSE,"운반시간"}</definedName>
    <definedName name="afd" hidden="1">{#N/A,#N/A,FALSE,"운반시간"}</definedName>
    <definedName name="afdsf" localSheetId="11" hidden="1">#REF!</definedName>
    <definedName name="afdsf" hidden="1">#REF!</definedName>
    <definedName name="AH" hidden="1">{"'을'!$A$1:$Z$93"}</definedName>
    <definedName name="AJ" hidden="1">{"'을'!$A$1:$Z$93"}</definedName>
    <definedName name="AKFLJK" localSheetId="11" hidden="1">{#N/A,#N/A,FALSE,"전력간선"}</definedName>
    <definedName name="AKFLJK" hidden="1">{#N/A,#N/A,FALSE,"전력간선"}</definedName>
    <definedName name="anscount" hidden="1">1</definedName>
    <definedName name="as" localSheetId="9" hidden="1">#REF!</definedName>
    <definedName name="as" hidden="1">#REF!</definedName>
    <definedName name="AS2DocOpenMode" hidden="1">"AS2DocumentBrowse"</definedName>
    <definedName name="asdas" localSheetId="11" hidden="1">{#N/A,#N/A,FALSE,"조골재"}</definedName>
    <definedName name="asdas" hidden="1">{#N/A,#N/A,FALSE,"조골재"}</definedName>
    <definedName name="asdf" localSheetId="11" hidden="1">{#N/A,#N/A,FALSE,"단가표지"}</definedName>
    <definedName name="asdf" hidden="1">{#N/A,#N/A,FALSE,"단가표지"}</definedName>
    <definedName name="asfas" localSheetId="11" hidden="1">{#N/A,#N/A,FALSE,"표지목차"}</definedName>
    <definedName name="asfas" hidden="1">{#N/A,#N/A,FALSE,"표지목차"}</definedName>
    <definedName name="BBC" localSheetId="9" hidden="1">#REF!</definedName>
    <definedName name="BBC" hidden="1">#REF!</definedName>
    <definedName name="CCB" localSheetId="9" hidden="1">#REF!</definedName>
    <definedName name="CCB" hidden="1">#REF!</definedName>
    <definedName name="CD" hidden="1">{"'을'!$A$1:$Z$93"}</definedName>
    <definedName name="cgmh" localSheetId="11" hidden="1">{"'용역비'!$A$4:$C$8"}</definedName>
    <definedName name="cgmh" hidden="1">{"'용역비'!$A$4:$C$8"}</definedName>
    <definedName name="dfghjkl" localSheetId="11" hidden="1">{#N/A,#N/A,FALSE,"조골재"}</definedName>
    <definedName name="dfghjkl" hidden="1">{#N/A,#N/A,FALSE,"조골재"}</definedName>
    <definedName name="dhd" hidden="1">#REF!</definedName>
    <definedName name="dhj" localSheetId="11" hidden="1">{"'용역비'!$A$4:$C$8"}</definedName>
    <definedName name="dhj" hidden="1">{"'용역비'!$A$4:$C$8"}</definedName>
    <definedName name="dldldldll" localSheetId="11" hidden="1">#REF!</definedName>
    <definedName name="dldldldll" hidden="1">#REF!</definedName>
    <definedName name="dlfdnl" localSheetId="2" hidden="1">{"'제10장(표)'!$A$5:$L$10"}</definedName>
    <definedName name="dlfdnl" hidden="1">{"'제10장(표)'!$A$5:$L$10"}</definedName>
    <definedName name="dn" localSheetId="11" hidden="1">{#N/A,#N/A,FALSE,"혼합골재"}</definedName>
    <definedName name="dn" localSheetId="2" hidden="1">{#N/A,#N/A,FALSE,"혼합골재"}</definedName>
    <definedName name="dn" hidden="1">{#N/A,#N/A,FALSE,"혼합골재"}</definedName>
    <definedName name="ds" localSheetId="2" hidden="1">{#N/A,#N/A,FALSE,"손익표지";#N/A,#N/A,FALSE,"손익계산";#N/A,#N/A,FALSE,"일반관리비";#N/A,#N/A,FALSE,"영업외수익";#N/A,#N/A,FALSE,"영업외비용";#N/A,#N/A,FALSE,"매출액";#N/A,#N/A,FALSE,"요약손익";#N/A,#N/A,FALSE,"요약대차";#N/A,#N/A,FALSE,"매출채권현황";#N/A,#N/A,FALSE,"매출채권명세"}</definedName>
    <definedName name="ds" hidden="1">{#N/A,#N/A,FALSE,"손익표지";#N/A,#N/A,FALSE,"손익계산";#N/A,#N/A,FALSE,"일반관리비";#N/A,#N/A,FALSE,"영업외수익";#N/A,#N/A,FALSE,"영업외비용";#N/A,#N/A,FALSE,"매출액";#N/A,#N/A,FALSE,"요약손익";#N/A,#N/A,FALSE,"요약대차";#N/A,#N/A,FALSE,"매출채권현황";#N/A,#N/A,FALSE,"매출채권명세"}</definedName>
    <definedName name="dsaf" localSheetId="11" hidden="1">{#N/A,#N/A,FALSE,"조골재"}</definedName>
    <definedName name="dsaf" hidden="1">{#N/A,#N/A,FALSE,"조골재"}</definedName>
    <definedName name="DSF" localSheetId="11" hidden="1">{#N/A,#N/A,FALSE,"골재소요량";#N/A,#N/A,FALSE,"골재소요량"}</definedName>
    <definedName name="DSF" hidden="1">{#N/A,#N/A,FALSE,"골재소요량";#N/A,#N/A,FALSE,"골재소요량"}</definedName>
    <definedName name="dsfdafgf" localSheetId="2"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dsfdafgf"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e" localSheetId="11" hidden="1">{#N/A,#N/A,FALSE,"전력간선"}</definedName>
    <definedName name="ee" localSheetId="2" hidden="1">{#N/A,#N/A,FALSE,"단가표지"}</definedName>
    <definedName name="ee" hidden="1">{#N/A,#N/A,FALSE,"단가표지"}</definedName>
    <definedName name="eee" localSheetId="11" hidden="1">{#N/A,#N/A,FALSE,"신청통보";#N/A,#N/A,FALSE,"기성확인서";#N/A,#N/A,FALSE,"기성내역서"}</definedName>
    <definedName name="eee" localSheetId="2" hidden="1">{#N/A,#N/A,FALSE,"2~8번"}</definedName>
    <definedName name="eee" hidden="1">{#N/A,#N/A,FALSE,"2~8번"}</definedName>
    <definedName name="ej" localSheetId="11" hidden="1">{"'용역비'!$A$4:$C$8"}</definedName>
    <definedName name="ej" hidden="1">{"'용역비'!$A$4:$C$8"}</definedName>
    <definedName name="ertyertye" localSheetId="11" hidden="1">{"'용역비'!$A$4:$C$8"}</definedName>
    <definedName name="ertyertye" hidden="1">{"'용역비'!$A$4:$C$8"}</definedName>
    <definedName name="etyj" localSheetId="11" hidden="1">{"'용역비'!$A$4:$C$8"}</definedName>
    <definedName name="etyj" hidden="1">{"'용역비'!$A$4:$C$8"}</definedName>
    <definedName name="etyjj" localSheetId="11" hidden="1">{"'용역비'!$A$4:$C$8"}</definedName>
    <definedName name="etyjj" hidden="1">{"'용역비'!$A$4:$C$8"}</definedName>
    <definedName name="f" localSheetId="9" hidden="1">#REF!</definedName>
    <definedName name="f" hidden="1">#REF!</definedName>
    <definedName name="ff" localSheetId="2" hidden="1">{#N/A,#N/A,FALSE,"2~8번"}</definedName>
    <definedName name="ff" hidden="1">{#N/A,#N/A,FALSE,"2~8번"}</definedName>
    <definedName name="fff" localSheetId="2" hidden="1">{#N/A,#N/A,FALSE,"조골재"}</definedName>
    <definedName name="fff" hidden="1">{#N/A,#N/A,FALSE,"조골재"}</definedName>
    <definedName name="ffffffffff" localSheetId="2" hidden="1">{#N/A,#N/A,FALSE,"골재소요량";#N/A,#N/A,FALSE,"골재소요량"}</definedName>
    <definedName name="ffffffffff" hidden="1">{#N/A,#N/A,FALSE,"골재소요량";#N/A,#N/A,FALSE,"골재소요량"}</definedName>
    <definedName name="ffk" localSheetId="11" hidden="1">#REF!</definedName>
    <definedName name="ffk" hidden="1">#REF!</definedName>
    <definedName name="fg" hidden="1">{#N/A,#N/A,FALSE,"전력간선"}</definedName>
    <definedName name="fjka" localSheetId="11" hidden="1">{#N/A,#N/A,FALSE,"전력간선"}</definedName>
    <definedName name="fjka" hidden="1">{#N/A,#N/A,FALSE,"전력간선"}</definedName>
    <definedName name="FK" localSheetId="11" hidden="1">{"'용역비'!$A$4:$C$8"}</definedName>
    <definedName name="FK" hidden="1">{"'용역비'!$A$4:$C$8"}</definedName>
    <definedName name="fs" hidden="1">{#N/A,#N/A,FALSE,"전력간선"}</definedName>
    <definedName name="g" localSheetId="2" hidden="1">{#N/A,#N/A,FALSE,"단가표지"}</definedName>
    <definedName name="g" hidden="1">{#N/A,#N/A,FALSE,"단가표지"}</definedName>
    <definedName name="GEMCO" localSheetId="11" hidden="1">#REF!</definedName>
    <definedName name="GEMCO" hidden="1">#REF!</definedName>
    <definedName name="gfgdfg" localSheetId="11" hidden="1">#REF!</definedName>
    <definedName name="gfgdfg" localSheetId="9" hidden="1">#REF!</definedName>
    <definedName name="gfgdfg" hidden="1">#REF!</definedName>
    <definedName name="gg" localSheetId="2" hidden="1">{#N/A,#N/A,FALSE,"혼합골재"}</definedName>
    <definedName name="gg" hidden="1">{#N/A,#N/A,FALSE,"혼합골재"}</definedName>
    <definedName name="gggg" localSheetId="2" hidden="1">{#N/A,#N/A,FALSE,"골재소요량";#N/A,#N/A,FALSE,"골재소요량"}</definedName>
    <definedName name="gggg" hidden="1">{#N/A,#N/A,FALSE,"골재소요량";#N/A,#N/A,FALSE,"골재소요량"}</definedName>
    <definedName name="ggh" localSheetId="2" hidden="1">{#N/A,#N/A,FALSE,"표지목차"}</definedName>
    <definedName name="ggh" hidden="1">{#N/A,#N/A,FALSE,"표지목차"}</definedName>
    <definedName name="ghj" localSheetId="11" hidden="1">{#N/A,#N/A,FALSE,"2~8번"}</definedName>
    <definedName name="ghj" hidden="1">{#N/A,#N/A,FALSE,"2~8번"}</definedName>
    <definedName name="grew" localSheetId="9" hidden="1">#REF!</definedName>
    <definedName name="grew" hidden="1">#REF!</definedName>
    <definedName name="han" localSheetId="9" hidden="1">#REF!</definedName>
    <definedName name="han" hidden="1">#REF!</definedName>
    <definedName name="hardwar" hidden="1">#REF!</definedName>
    <definedName name="hbjk" localSheetId="9" hidden="1">#REF!</definedName>
    <definedName name="hbjk" hidden="1">#REF!</definedName>
    <definedName name="hhhh" localSheetId="2" hidden="1">{#N/A,#N/A,FALSE,"2~8번"}</definedName>
    <definedName name="hhhh" hidden="1">{#N/A,#N/A,FALSE,"2~8번"}</definedName>
    <definedName name="hhhhhh" localSheetId="2" hidden="1">{#N/A,#N/A,FALSE,"골재소요량";#N/A,#N/A,FALSE,"골재소요량"}</definedName>
    <definedName name="hhhhhh" hidden="1">{#N/A,#N/A,FALSE,"골재소요량";#N/A,#N/A,FALSE,"골재소요량"}</definedName>
    <definedName name="hhj" localSheetId="2" hidden="1">{#N/A,#N/A,FALSE,"혼합골재"}</definedName>
    <definedName name="hhj" hidden="1">{#N/A,#N/A,FALSE,"혼합골재"}</definedName>
    <definedName name="hj" localSheetId="2" hidden="1">{#N/A,#N/A,FALSE,"혼합골재"}</definedName>
    <definedName name="hj" hidden="1">{#N/A,#N/A,FALSE,"혼합골재"}</definedName>
    <definedName name="HTL" localSheetId="11" hidden="1">{"'을'!$A$1:$Z$93"}</definedName>
    <definedName name="HTL" hidden="1">{"'을'!$A$1:$Z$93"}</definedName>
    <definedName name="HTML_CodePage" hidden="1">949</definedName>
    <definedName name="HTML_Control" localSheetId="11" hidden="1">{"'자리배치도'!$AG$1:$CI$28"}</definedName>
    <definedName name="HTML_Control" localSheetId="2" hidden="1">{"'급수관로수리계산서'!$A$1:$V$45"}</definedName>
    <definedName name="HTML_Control" hidden="1">{"'급수관로수리계산서'!$A$1:$V$45"}</definedName>
    <definedName name="HTML_Description" localSheetId="11" hidden="1">""</definedName>
    <definedName name="HTML_Description" hidden="1">"없음"</definedName>
    <definedName name="HTML_Email" hidden="1">""</definedName>
    <definedName name="HTML_Header" localSheetId="11" hidden="1">"자리배치도"</definedName>
    <definedName name="HTML_Header" hidden="1">"급수관로수리계산서"</definedName>
    <definedName name="HTML_LastUpdate" localSheetId="11" hidden="1">"98-04-21"</definedName>
    <definedName name="HTML_LastUpdate" hidden="1">"00-06-22"</definedName>
    <definedName name="HTML_LineAfter" hidden="1">FALSE</definedName>
    <definedName name="HTML_LineBefore" hidden="1">FALSE</definedName>
    <definedName name="HTML_Name" localSheetId="11" hidden="1">"김회진"</definedName>
    <definedName name="HTML_Name" hidden="1">"송원"</definedName>
    <definedName name="HTML_OBDlg2" hidden="1">TRUE</definedName>
    <definedName name="HTML_OBDlg3" hidden="1">TRUE</definedName>
    <definedName name="HTML_OBDlg4" hidden="1">TRUE</definedName>
    <definedName name="HTML_OS" hidden="1">0</definedName>
    <definedName name="HTML_PathFile" localSheetId="11" hidden="1">"E:\업무분장\DESK.htm"</definedName>
    <definedName name="HTML_PathFile" hidden="1">"C:\My Documents\MyHTML.htm"</definedName>
    <definedName name="HTML_PathTemplate" hidden="1">"C:\USERS\JHW\Kwangju\Distribution-Analysis\HTMLTemp.htm"</definedName>
    <definedName name="HTML_Title" localSheetId="11" hidden="1">"좌석배치"</definedName>
    <definedName name="HTML_Title" hidden="1">"급수관로수리계산서"</definedName>
    <definedName name="HTML1_1" hidden="1">"'[엑셀95-따라하기 문제.xls]인터넷 어시스턴트'!$A$1:$J$18"</definedName>
    <definedName name="HTML1_10" hidden="1">"Marihan@hitel.kol.co.kr"</definedName>
    <definedName name="HTML1_11" hidden="1">1</definedName>
    <definedName name="HTML1_12" hidden="1">"C:\김종완\원고\[작업중] 한빛-엑셀70\CD-ROM문제\따라하기 문제&amp;그림\MyHTML01.htm"</definedName>
    <definedName name="HTML1_2" hidden="1">1</definedName>
    <definedName name="HTML1_3" hidden="1">"엑셀 프로젝트"</definedName>
    <definedName name="HTML1_4" hidden="1">"인터넷 어시스턴트"</definedName>
    <definedName name="HTML1_5" hidden="1">"엑셀 워크시트를 HTML문서로 변환한다. 이 적업은 &lt;한빛 미디어&gt; 책에서만 가능하며, [어린왕자]만의 독특한 아이디어 이다."</definedName>
    <definedName name="HTML1_6" hidden="1">1</definedName>
    <definedName name="HTML1_7" hidden="1">1</definedName>
    <definedName name="HTML1_8" hidden="1">"97-10-09"</definedName>
    <definedName name="HTML1_9" hidden="1">"김종완/어린왕자"</definedName>
    <definedName name="HTMLCount" hidden="1">1</definedName>
    <definedName name="j" localSheetId="9" hidden="1">#REF!</definedName>
    <definedName name="j" hidden="1">#REF!</definedName>
    <definedName name="jj" hidden="1">{#N/A,#N/A,FALSE,"전력간선"}</definedName>
    <definedName name="jjj" localSheetId="11" hidden="1">{#N/A,#N/A,FALSE,"골재소요량";#N/A,#N/A,FALSE,"골재소요량"}</definedName>
    <definedName name="jjj" localSheetId="2" hidden="1">{#N/A,#N/A,FALSE,"표지목차"}</definedName>
    <definedName name="jjj" hidden="1">{#N/A,#N/A,FALSE,"표지목차"}</definedName>
    <definedName name="jjjj" hidden="1">{#N/A,#N/A,FALSE,"2~8번"}</definedName>
    <definedName name="jjjjj" localSheetId="2" hidden="1">{#N/A,#N/A,FALSE,"운반시간"}</definedName>
    <definedName name="jjjjj" hidden="1">{#N/A,#N/A,FALSE,"운반시간"}</definedName>
    <definedName name="JJJJJJ" localSheetId="9" hidden="1">#REF!</definedName>
    <definedName name="JJJJJJ" hidden="1">#REF!</definedName>
    <definedName name="jjk" localSheetId="2" hidden="1">{#N/A,#N/A,FALSE,"조골재"}</definedName>
    <definedName name="jjk" hidden="1">{#N/A,#N/A,FALSE,"조골재"}</definedName>
    <definedName name="jk" localSheetId="11" hidden="1">{#N/A,#N/A,FALSE,"조골재"}</definedName>
    <definedName name="jk" localSheetId="2" hidden="1">{#N/A,#N/A,FALSE,"표지목차"}</definedName>
    <definedName name="jk" hidden="1">{#N/A,#N/A,FALSE,"표지목차"}</definedName>
    <definedName name="kj" localSheetId="2" hidden="1">{#N/A,#N/A,FALSE,"운반시간"}</definedName>
    <definedName name="kj" hidden="1">{#N/A,#N/A,FALSE,"운반시간"}</definedName>
    <definedName name="kjj" localSheetId="2" hidden="1">{#N/A,#N/A,FALSE,"조골재"}</definedName>
    <definedName name="kjj" hidden="1">{#N/A,#N/A,FALSE,"조골재"}</definedName>
    <definedName name="kkk" localSheetId="2" hidden="1">{#N/A,#N/A,FALSE,"골재소요량";#N/A,#N/A,FALSE,"골재소요량"}</definedName>
    <definedName name="kkk" hidden="1">{#N/A,#N/A,FALSE,"골재소요량";#N/A,#N/A,FALSE,"골재소요량"}</definedName>
    <definedName name="kkkkk" localSheetId="11" hidden="1">#REF!</definedName>
    <definedName name="kkkkk" hidden="1">#REF!</definedName>
    <definedName name="kl" localSheetId="2" hidden="1">{#N/A,#N/A,FALSE,"단가표지"}</definedName>
    <definedName name="kl" hidden="1">{#N/A,#N/A,FALSE,"단가표지"}</definedName>
    <definedName name="klkkk" hidden="1">#REF!</definedName>
    <definedName name="KPI" localSheetId="2" hidden="1">{#N/A,#N/A,FALSE,"손익표지";#N/A,#N/A,FALSE,"손익계산";#N/A,#N/A,FALSE,"일반관리비";#N/A,#N/A,FALSE,"영업외수익";#N/A,#N/A,FALSE,"영업외비용";#N/A,#N/A,FALSE,"매출액";#N/A,#N/A,FALSE,"요약손익";#N/A,#N/A,FALSE,"요약대차";#N/A,#N/A,FALSE,"매출채권현황";#N/A,#N/A,FALSE,"매출채권명세"}</definedName>
    <definedName name="KPI" hidden="1">{#N/A,#N/A,FALSE,"손익표지";#N/A,#N/A,FALSE,"손익계산";#N/A,#N/A,FALSE,"일반관리비";#N/A,#N/A,FALSE,"영업외수익";#N/A,#N/A,FALSE,"영업외비용";#N/A,#N/A,FALSE,"매출액";#N/A,#N/A,FALSE,"요약손익";#N/A,#N/A,FALSE,"요약대차";#N/A,#N/A,FALSE,"매출채권현황";#N/A,#N/A,FALSE,"매출채권명세"}</definedName>
    <definedName name="li" hidden="1">{"'용역비'!$A$4:$C$8"}</definedName>
    <definedName name="ljkㅏㅎ" localSheetId="11" hidden="1">{#N/A,#N/A,FALSE,"2~8번"}</definedName>
    <definedName name="ljkㅏㅎ" hidden="1">{#N/A,#N/A,FALSE,"2~8번"}</definedName>
    <definedName name="LK" hidden="1">{"'을'!$A$1:$Z$93"}</definedName>
    <definedName name="mm" localSheetId="11" hidden="1">{#N/A,#N/A,TRUE,"토적및재료집계";#N/A,#N/A,TRUE,"토적및재료집계";#N/A,#N/A,TRUE,"단위량"}</definedName>
    <definedName name="mm" hidden="1">{#N/A,#N/A,TRUE,"토적및재료집계";#N/A,#N/A,TRUE,"토적및재료집계";#N/A,#N/A,TRUE,"단위량"}</definedName>
    <definedName name="mn" localSheetId="11" hidden="1">{#N/A,#N/A,FALSE,"조골재"}</definedName>
    <definedName name="mn" hidden="1">{#N/A,#N/A,FALSE,"조골재"}</definedName>
    <definedName name="n" localSheetId="9" hidden="1">#REF!</definedName>
    <definedName name="n" hidden="1">#REF!</definedName>
    <definedName name="nm" localSheetId="11" hidden="1">{#N/A,#N/A,FALSE,"골재소요량";#N/A,#N/A,FALSE,"골재소요량"}</definedName>
    <definedName name="nm" hidden="1">{#N/A,#N/A,FALSE,"골재소요량";#N/A,#N/A,FALSE,"골재소요량"}</definedName>
    <definedName name="ODH" localSheetId="11" hidden="1">#REF!</definedName>
    <definedName name="ODH" hidden="1">#REF!</definedName>
    <definedName name="OIL" localSheetId="11" hidden="1">{"'용역비'!$A$4:$C$8"}</definedName>
    <definedName name="OIL" hidden="1">{"'용역비'!$A$4:$C$8"}</definedName>
    <definedName name="_xlnm.Print_Area" localSheetId="12">'기초2(손해배상공제요율)'!$A$1:$L$32</definedName>
    <definedName name="_xlnm.Print_Area" localSheetId="8">'산근1(실시설계요율)'!$A$2:$AF$26</definedName>
    <definedName name="_xlnm.Print_Area" localSheetId="13">'산근1(현황측량)'!$A$1:$R$29</definedName>
    <definedName name="_xlnm.Print_Area" localSheetId="11">'산근2(손해보험공제요율)'!$A$1:$K$19</definedName>
    <definedName name="q" localSheetId="11" hidden="1">{#N/A,#N/A,FALSE,"증감대비표";#N/A,#N/A,FALSE,"결의서";#N/A,#N/A,FALSE,"내역서";#N/A,#N/A,FALSE,"도급예상"}</definedName>
    <definedName name="q" localSheetId="9" hidden="1">#REF!</definedName>
    <definedName name="q" hidden="1">#REF!</definedName>
    <definedName name="q234562456" localSheetId="11" hidden="1">{"'용역비'!$A$4:$C$8"}</definedName>
    <definedName name="q234562456" hidden="1">{"'용역비'!$A$4:$C$8"}</definedName>
    <definedName name="Q3WEE" localSheetId="11" hidden="1">{#N/A,#N/A,FALSE,"조골재"}</definedName>
    <definedName name="Q3WEE" localSheetId="2" hidden="1">{#N/A,#N/A,FALSE,"조골재"}</definedName>
    <definedName name="Q3WEE" hidden="1">{#N/A,#N/A,FALSE,"조골재"}</definedName>
    <definedName name="QKRH" localSheetId="2" hidden="1">{#N/A,#N/A,FALSE,"손익표지";#N/A,#N/A,FALSE,"손익계산";#N/A,#N/A,FALSE,"일반관리비";#N/A,#N/A,FALSE,"영업외수익";#N/A,#N/A,FALSE,"영업외비용";#N/A,#N/A,FALSE,"매출액";#N/A,#N/A,FALSE,"요약손익";#N/A,#N/A,FALSE,"요약대차";#N/A,#N/A,FALSE,"매출채권현황";#N/A,#N/A,FALSE,"매출채권명세"}</definedName>
    <definedName name="QKRH" hidden="1">{#N/A,#N/A,FALSE,"손익표지";#N/A,#N/A,FALSE,"손익계산";#N/A,#N/A,FALSE,"일반관리비";#N/A,#N/A,FALSE,"영업외수익";#N/A,#N/A,FALSE,"영업외비용";#N/A,#N/A,FALSE,"매출액";#N/A,#N/A,FALSE,"요약손익";#N/A,#N/A,FALSE,"요약대차";#N/A,#N/A,FALSE,"매출채권현황";#N/A,#N/A,FALSE,"매출채권명세"}</definedName>
    <definedName name="qor" localSheetId="11" hidden="1">#REF!</definedName>
    <definedName name="qor" localSheetId="9" hidden="1">#REF!</definedName>
    <definedName name="qor" hidden="1">#REF!</definedName>
    <definedName name="QQ" hidden="1">{#N/A,#N/A,FALSE,"전력간선"}</definedName>
    <definedName name="QQQ" localSheetId="11" hidden="1">#REF!</definedName>
    <definedName name="qqq" localSheetId="2" hidden="1">{#N/A,#N/A,FALSE,"표지목차"}</definedName>
    <definedName name="qqq" hidden="1">{#N/A,#N/A,FALSE,"표지목차"}</definedName>
    <definedName name="QQQQ" hidden="1">{#N/A,#N/A,FALSE,"전력간선"}</definedName>
    <definedName name="QQQQQ" hidden="1">{#N/A,#N/A,FALSE,"전력간선"}</definedName>
    <definedName name="QQQQQQQ" localSheetId="11" hidden="1">{#N/A,#N/A,FALSE,"전력간선"}</definedName>
    <definedName name="QQQQQQQ" hidden="1">{#N/A,#N/A,FALSE,"전력간선"}</definedName>
    <definedName name="QQQQQQQQQQQ" localSheetId="11" hidden="1">{#N/A,#N/A,FALSE,"전력간선"}</definedName>
    <definedName name="QQQQQQQQQQQ" hidden="1">{#N/A,#N/A,FALSE,"전력간선"}</definedName>
    <definedName name="QQQQQQQQQQQQ" hidden="1">{#N/A,#N/A,FALSE,"전력간선"}</definedName>
    <definedName name="QQQQQQQQQQQQQQ" localSheetId="11" hidden="1">#REF!</definedName>
    <definedName name="QQQQQQQQQQQQQQ" hidden="1">#REF!</definedName>
    <definedName name="QQQQQQQQQQQQQQQQQ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QQQQQQQQQQQQQQQQQ" hidden="1">{#N/A,#N/A,FALSE,"손익표지";#N/A,#N/A,FALSE,"손익계산";#N/A,#N/A,FALSE,"일반관리비";#N/A,#N/A,FALSE,"영업외수익";#N/A,#N/A,FALSE,"영업외비용";#N/A,#N/A,FALSE,"매출액";#N/A,#N/A,FALSE,"요약손익";#N/A,#N/A,FALSE,"요약대차";#N/A,#N/A,FALSE,"매출채권현황";#N/A,#N/A,FALSE,"매출채권명세"}</definedName>
    <definedName name="qw" localSheetId="11" hidden="1">{#N/A,#N/A,FALSE,"단가표지"}</definedName>
    <definedName name="qw" localSheetId="2" hidden="1">{#N/A,#N/A,FALSE,"단가표지"}</definedName>
    <definedName name="qw" hidden="1">{#N/A,#N/A,FALSE,"단가표지"}</definedName>
    <definedName name="qyk" localSheetId="11" hidden="1">{"'용역비'!$A$4:$C$8"}</definedName>
    <definedName name="qyk" hidden="1">{"'용역비'!$A$4:$C$8"}</definedName>
    <definedName name="Qㅂㅂㅂㅂㅂㅂㅂ" localSheetId="11" hidden="1">{#N/A,#N/A,FALSE,"전력간선"}</definedName>
    <definedName name="Qㅂㅂㅂㅂㅂㅂㅂ" hidden="1">{#N/A,#N/A,FALSE,"전력간선"}</definedName>
    <definedName name="RFYIFIOYGOPIO" localSheetId="9" hidden="1">#REF!</definedName>
    <definedName name="RFYIFIOYGOPIO" hidden="1">#REF!</definedName>
    <definedName name="RH" localSheetId="11" hidden="1">{"'용역비'!$A$4:$C$8"}</definedName>
    <definedName name="RH" hidden="1">{"'용역비'!$A$4:$C$8"}</definedName>
    <definedName name="rr" localSheetId="2" hidden="1">{#N/A,#N/A,FALSE,"조골재"}</definedName>
    <definedName name="rr" hidden="1">{#N/A,#N/A,FALSE,"조골재"}</definedName>
    <definedName name="rrr" localSheetId="2" hidden="1">{#N/A,#N/A,FALSE,"골재소요량";#N/A,#N/A,FALSE,"골재소요량"}</definedName>
    <definedName name="rrr" hidden="1">{#N/A,#N/A,FALSE,"골재소요량";#N/A,#N/A,FALSE,"골재소요량"}</definedName>
    <definedName name="RT" localSheetId="11" hidden="1">{"'을'!$A$1:$Z$93"}</definedName>
    <definedName name="RT" hidden="1">{"'을'!$A$1:$Z$93"}</definedName>
    <definedName name="rth" localSheetId="11" hidden="1">{"'용역비'!$A$4:$C$8"}</definedName>
    <definedName name="rth" hidden="1">{"'용역비'!$A$4:$C$8"}</definedName>
    <definedName name="rty" localSheetId="11" hidden="1">{"'용역비'!$A$4:$C$8"}</definedName>
    <definedName name="rty" hidden="1">{"'용역비'!$A$4:$C$8"}</definedName>
    <definedName name="ryuk" localSheetId="11" hidden="1">{"'용역비'!$A$4:$C$8"}</definedName>
    <definedName name="ryuk" hidden="1">{"'용역비'!$A$4:$C$8"}</definedName>
    <definedName name="sd" hidden="1">{#N/A,#N/A,FALSE,"전력간선"}</definedName>
    <definedName name="sdd" hidden="1">{#N/A,#N/A,FALSE,"전력간선"}</definedName>
    <definedName name="sddd" localSheetId="11" hidden="1">{#N/A,#N/A,FALSE,"전력간선"}</definedName>
    <definedName name="sddd" hidden="1">{#N/A,#N/A,FALSE,"전력간선"}</definedName>
    <definedName name="sdfa" hidden="1">{#N/A,#N/A,FALSE,"2~8번"}</definedName>
    <definedName name="sdg" localSheetId="9" hidden="1">#REF!</definedName>
    <definedName name="sdg" hidden="1">#REF!</definedName>
    <definedName name="sdryhj" localSheetId="11" hidden="1">{"'용역비'!$A$4:$C$8"}</definedName>
    <definedName name="sdryhj" hidden="1">{"'용역비'!$A$4:$C$8"}</definedName>
    <definedName name="SDS" localSheetId="11" hidden="1">{#N/A,#N/A,FALSE,"2~8번"}</definedName>
    <definedName name="SDS" hidden="1">{#N/A,#N/A,FALSE,"2~8번"}</definedName>
    <definedName name="SE" hidden="1">{"'용역비'!$A$4:$C$8"}</definedName>
    <definedName name="SEP" localSheetId="2" hidden="1">{#N/A,#N/A,FALSE,"단가표지"}</definedName>
    <definedName name="SEP" hidden="1">{#N/A,#N/A,FALSE,"단가표지"}</definedName>
    <definedName name="sk" hidden="1">{#N/A,#N/A,FALSE,"전력간선"}</definedName>
    <definedName name="SKAN" localSheetId="11" hidden="1">{#N/A,#N/A,FALSE,"전력간선"}</definedName>
    <definedName name="SKAN" hidden="1">{#N/A,#N/A,FALSE,"전력간선"}</definedName>
    <definedName name="srth" localSheetId="11" hidden="1">{"'용역비'!$A$4:$C$8"}</definedName>
    <definedName name="srth" hidden="1">{"'용역비'!$A$4:$C$8"}</definedName>
    <definedName name="ss" localSheetId="11" hidden="1">{#N/A,#N/A,FALSE,"운반시간"}</definedName>
    <definedName name="ss" localSheetId="2" hidden="1">{#N/A,#N/A,FALSE,"운반시간"}</definedName>
    <definedName name="ss" hidden="1">{#N/A,#N/A,FALSE,"운반시간"}</definedName>
    <definedName name="sss" localSheetId="11" hidden="1">{#N/A,#N/A,FALSE,"전력간선"}</definedName>
    <definedName name="sss" localSheetId="2" hidden="1">{#N/A,#N/A,FALSE,"전력간선"}</definedName>
    <definedName name="sss" hidden="1">{#N/A,#N/A,FALSE,"전력간선"}</definedName>
    <definedName name="STS" localSheetId="11" hidden="1">{"'용역비'!$A$4:$C$8"}</definedName>
    <definedName name="STS" hidden="1">{"'용역비'!$A$4:$C$8"}</definedName>
    <definedName name="TFUI" localSheetId="11" hidden="1">{"'용역비'!$A$4:$C$8"}</definedName>
    <definedName name="TFUI" hidden="1">{"'용역비'!$A$4:$C$8"}</definedName>
    <definedName name="tr" localSheetId="9" hidden="1">#REF!</definedName>
    <definedName name="tr" hidden="1">#REF!</definedName>
    <definedName name="tttt" localSheetId="2" hidden="1">{#N/A,#N/A,FALSE,"골재소요량";#N/A,#N/A,FALSE,"골재소요량"}</definedName>
    <definedName name="tttt" hidden="1">{#N/A,#N/A,FALSE,"골재소요량";#N/A,#N/A,FALSE,"골재소요량"}</definedName>
    <definedName name="tttttt" localSheetId="2" hidden="1">{#N/A,#N/A,FALSE,"골재소요량";#N/A,#N/A,FALSE,"골재소요량"}</definedName>
    <definedName name="tttttt" hidden="1">{#N/A,#N/A,FALSE,"골재소요량";#N/A,#N/A,FALSE,"골재소요량"}</definedName>
    <definedName name="tuilol" localSheetId="11" hidden="1">{"'용역비'!$A$4:$C$8"}</definedName>
    <definedName name="tuilol" hidden="1">{"'용역비'!$A$4:$C$8"}</definedName>
    <definedName name="TYJ" localSheetId="11" hidden="1">{"'용역비'!$A$4:$C$8"}</definedName>
    <definedName name="TYJ" hidden="1">{"'용역비'!$A$4:$C$8"}</definedName>
    <definedName name="tyje" localSheetId="11" hidden="1">{"'용역비'!$A$4:$C$8"}</definedName>
    <definedName name="tyje" hidden="1">{"'용역비'!$A$4:$C$8"}</definedName>
    <definedName name="tyjet" localSheetId="11" hidden="1">{"'용역비'!$A$4:$C$8"}</definedName>
    <definedName name="tyjet" hidden="1">{"'용역비'!$A$4:$C$8"}</definedName>
    <definedName name="tykd" localSheetId="2" hidden="1">{"'제10장(표)'!$A$5:$L$10"}</definedName>
    <definedName name="tykd" hidden="1">{"'제10장(표)'!$A$5:$L$10"}</definedName>
    <definedName name="tyu" hidden="1">{"'용역비'!$A$4:$C$8"}</definedName>
    <definedName name="ulo" localSheetId="11" hidden="1">{"'용역비'!$A$4:$C$8"}</definedName>
    <definedName name="ulo" hidden="1">{"'용역비'!$A$4:$C$8"}</definedName>
    <definedName name="w" hidden="1">{#N/A,#N/A,FALSE,"결의서";#N/A,#N/A,FALSE,"내역서";#N/A,#N/A,FALSE,"비목별예상공사";#N/A,#N/A,FALSE,"도급예상";#N/A,#N/A,FALSE,"산출내역"}</definedName>
    <definedName name="wer" localSheetId="11" hidden="1">{#N/A,#N/A,FALSE,"골재소요량";#N/A,#N/A,FALSE,"골재소요량"}</definedName>
    <definedName name="wer" localSheetId="2" hidden="1">{#N/A,#N/A,FALSE,"골재소요량";#N/A,#N/A,FALSE,"골재소요량"}</definedName>
    <definedName name="wer" hidden="1">{#N/A,#N/A,FALSE,"골재소요량";#N/A,#N/A,FALSE,"골재소요량"}</definedName>
    <definedName name="win.VESSEL"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m.조골재1" localSheetId="11" hidden="1">{#N/A,#N/A,FALSE,"조골재"}</definedName>
    <definedName name="wm.조골재1" localSheetId="2" hidden="1">{#N/A,#N/A,FALSE,"조골재"}</definedName>
    <definedName name="wm.조골재1" hidden="1">{#N/A,#N/A,FALSE,"조골재"}</definedName>
    <definedName name="wq" hidden="1">{#N/A,#N/A,FALSE,"2~8번"}</definedName>
    <definedName name="wrn.2번." localSheetId="11" hidden="1">{#N/A,#N/A,FALSE,"2~8번"}</definedName>
    <definedName name="wrn.2번." localSheetId="2" hidden="1">{#N/A,#N/A,FALSE,"2~8번"}</definedName>
    <definedName name="wrn.2번." hidden="1">{#N/A,#N/A,FALSE,"2~8번"}</definedName>
    <definedName name="wrn.97년._.사업계획._.및._.예산지침." localSheetId="11" hidden="1">{#N/A,#N/A,TRUE,"1";#N/A,#N/A,TRUE,"2";#N/A,#N/A,TRUE,"3";#N/A,#N/A,TRUE,"4";#N/A,#N/A,TRUE,"5";#N/A,#N/A,TRUE,"6";#N/A,#N/A,TRUE,"7"}</definedName>
    <definedName name="wrn.97년._.사업계획._.및._.예산지침." hidden="1">{#N/A,#N/A,TRUE,"1";#N/A,#N/A,TRUE,"2";#N/A,#N/A,TRUE,"3";#N/A,#N/A,TRUE,"4";#N/A,#N/A,TRUE,"5";#N/A,#N/A,TRUE,"6";#N/A,#N/A,TRUE,"7"}</definedName>
    <definedName name="wrn.VESSEL및N2._.구입사양서."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골재소요량." localSheetId="11" hidden="1">{#N/A,#N/A,FALSE,"골재소요량";#N/A,#N/A,FALSE,"골재소요량"}</definedName>
    <definedName name="wrn.골재소요량." localSheetId="2" hidden="1">{#N/A,#N/A,FALSE,"골재소요량";#N/A,#N/A,FALSE,"골재소요량"}</definedName>
    <definedName name="wrn.골재소요량." hidden="1">{#N/A,#N/A,FALSE,"골재소요량";#N/A,#N/A,FALSE,"골재소요량"}</definedName>
    <definedName name="wrn.교육청." localSheetId="11" hidden="1">{#N/A,#N/A,FALSE,"전력간선"}</definedName>
    <definedName name="wrn.교육청." localSheetId="2" hidden="1">{#N/A,#N/A,FALSE,"전력간선"}</definedName>
    <definedName name="wrn.교육청." hidden="1">{#N/A,#N/A,FALSE,"전력간선"}</definedName>
    <definedName name="wrn.교육청.1" localSheetId="11" hidden="1">{#N/A,#N/A,FALSE,"전력간선"}</definedName>
    <definedName name="wrn.교육청.1" hidden="1">{#N/A,#N/A,FALSE,"전력간선"}</definedName>
    <definedName name="wrn.구조2." localSheetId="11" hidden="1">{#N/A,#N/A,FALSE,"구조2"}</definedName>
    <definedName name="wrn.구조2." localSheetId="2" hidden="1">{#N/A,#N/A,FALSE,"구조2"}</definedName>
    <definedName name="wrn.구조2." hidden="1">{#N/A,#N/A,FALSE,"구조2"}</definedName>
    <definedName name="wrn.기성." localSheetId="11" hidden="1">{#N/A,#N/A,FALSE,"신청통보";#N/A,#N/A,FALSE,"기성확인서";#N/A,#N/A,FALSE,"기성내역서"}</definedName>
    <definedName name="wrn.기성." hidden="1">{#N/A,#N/A,FALSE,"신청통보";#N/A,#N/A,FALSE,"기성확인서";#N/A,#N/A,FALSE,"기성내역서"}</definedName>
    <definedName name="wrn.단가산출서." localSheetId="2"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산출서."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표지." localSheetId="11" hidden="1">{#N/A,#N/A,FALSE,"단가표지"}</definedName>
    <definedName name="wrn.단가표지." localSheetId="2" hidden="1">{#N/A,#N/A,FALSE,"단가표지"}</definedName>
    <definedName name="wrn.단가표지." hidden="1">{#N/A,#N/A,FALSE,"단가표지"}</definedName>
    <definedName name="wrn.배수1." localSheetId="11" hidden="1">{#N/A,#N/A,FALSE,"배수1"}</definedName>
    <definedName name="wrn.배수1." localSheetId="2" hidden="1">{#N/A,#N/A,FALSE,"배수1"}</definedName>
    <definedName name="wrn.배수1." hidden="1">{#N/A,#N/A,FALSE,"배수1"}</definedName>
    <definedName name="wrn.배수2." localSheetId="11" hidden="1">{#N/A,#N/A,FALSE,"배수2"}</definedName>
    <definedName name="wrn.배수2." localSheetId="2" hidden="1">{#N/A,#N/A,FALSE,"배수2"}</definedName>
    <definedName name="wrn.배수2." hidden="1">{#N/A,#N/A,FALSE,"배수2"}</definedName>
    <definedName name="wrn.부대1." localSheetId="11" hidden="1">{#N/A,#N/A,FALSE,"부대1"}</definedName>
    <definedName name="wrn.부대1." localSheetId="2" hidden="1">{#N/A,#N/A,FALSE,"부대1"}</definedName>
    <definedName name="wrn.부대1." hidden="1">{#N/A,#N/A,FALSE,"부대1"}</definedName>
    <definedName name="wrn.부대2." localSheetId="11" hidden="1">{#N/A,#N/A,FALSE,"부대2"}</definedName>
    <definedName name="wrn.부대2." localSheetId="2" hidden="1">{#N/A,#N/A,FALSE,"부대2"}</definedName>
    <definedName name="wrn.부대2." hidden="1">{#N/A,#N/A,FALSE,"부대2"}</definedName>
    <definedName name="wrn.부산주경기장."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속도." localSheetId="11" hidden="1">{#N/A,#N/A,FALSE,"속도"}</definedName>
    <definedName name="wrn.속도." localSheetId="2" hidden="1">{#N/A,#N/A,FALSE,"속도"}</definedName>
    <definedName name="wrn.속도." hidden="1">{#N/A,#N/A,FALSE,"속도"}</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localSheetId="11" hidden="1">{#N/A,#N/A,FALSE,"결의서";#N/A,#N/A,FALSE,"내역서";#N/A,#N/A,FALSE,"도급예상";#N/A,#N/A,FALSE,"시방서"}</definedName>
    <definedName name="wrn.시행결의." hidden="1">{#N/A,#N/A,FALSE,"결의서";#N/A,#N/A,FALSE,"내역서";#N/A,#N/A,FALSE,"도급예상";#N/A,#N/A,FALSE,"시방서"}</definedName>
    <definedName name="wrn.신용찬." localSheetId="11" hidden="1">{#N/A,#N/A,TRUE,"토적및재료집계";#N/A,#N/A,TRUE,"토적및재료집계";#N/A,#N/A,TRUE,"단위량"}</definedName>
    <definedName name="wrn.신용찬." hidden="1">{#N/A,#N/A,TRUE,"토적및재료집계";#N/A,#N/A,TRUE,"토적및재료집계";#N/A,#N/A,TRUE,"단위량"}</definedName>
    <definedName name="wrn.외주기성." localSheetId="11" hidden="1">{#N/A,#N/A,FALSE,"신청통보";#N/A,#N/A,FALSE,"기성확인서";#N/A,#N/A,FALSE,"기성내역서"}</definedName>
    <definedName name="wrn.외주기성." hidden="1">{#N/A,#N/A,FALSE,"신청통보";#N/A,#N/A,FALSE,"기성확인서";#N/A,#N/A,FALSE,"기성내역서"}</definedName>
    <definedName name="wrn.운반시간." localSheetId="11" hidden="1">{#N/A,#N/A,FALSE,"운반시간"}</definedName>
    <definedName name="wrn.운반시간." localSheetId="2" hidden="1">{#N/A,#N/A,FALSE,"운반시간"}</definedName>
    <definedName name="wrn.운반시간." hidden="1">{#N/A,#N/A,FALSE,"운반시간"}</definedName>
    <definedName name="wrn.이정표." localSheetId="11" hidden="1">{#N/A,#N/A,FALSE,"이정표"}</definedName>
    <definedName name="wrn.이정표." localSheetId="2" hidden="1">{#N/A,#N/A,FALSE,"이정표"}</definedName>
    <definedName name="wrn.이정표." hidden="1">{#N/A,#N/A,FALSE,"이정표"}</definedName>
    <definedName name="wrn.일위대가." localSheetId="11" hidden="1">{#N/A,#N/A,TRUE,"대가1"}</definedName>
    <definedName name="wrn.일위대가." localSheetId="2" hidden="1">{#N/A,#N/A,TRUE,"대가1"}</definedName>
    <definedName name="wrn.일위대가." hidden="1">{#N/A,#N/A,TRUE,"대가1"}</definedName>
    <definedName name="wrn.조골재." localSheetId="11" hidden="1">{#N/A,#N/A,FALSE,"조골재"}</definedName>
    <definedName name="wrn.조골재." localSheetId="2" hidden="1">{#N/A,#N/A,FALSE,"조골재"}</definedName>
    <definedName name="wrn.조골재." hidden="1">{#N/A,#N/A,FALSE,"조골재"}</definedName>
    <definedName name="wrn.철골집계표._.5칸." localSheetId="11" hidden="1">{#N/A,#N/A,FALSE,"Sheet1"}</definedName>
    <definedName name="wrn.철골집계표._.5칸." hidden="1">{#N/A,#N/A,FALSE,"Sheet1"}</definedName>
    <definedName name="wrn.토공1." localSheetId="11" hidden="1">{#N/A,#N/A,FALSE,"구조1"}</definedName>
    <definedName name="wrn.토공1." localSheetId="2" hidden="1">{#N/A,#N/A,FALSE,"구조1"}</definedName>
    <definedName name="wrn.토공1." hidden="1">{#N/A,#N/A,FALSE,"구조1"}</definedName>
    <definedName name="wrn.토공2." localSheetId="11" hidden="1">{#N/A,#N/A,FALSE,"토공2"}</definedName>
    <definedName name="wrn.토공2." localSheetId="2" hidden="1">{#N/A,#N/A,FALSE,"토공2"}</definedName>
    <definedName name="wrn.토공2." hidden="1">{#N/A,#N/A,FALSE,"토공2"}</definedName>
    <definedName name="wrn.포장1." localSheetId="11" hidden="1">{#N/A,#N/A,FALSE,"포장1";#N/A,#N/A,FALSE,"포장1"}</definedName>
    <definedName name="wrn.포장1." localSheetId="2" hidden="1">{#N/A,#N/A,FALSE,"포장1";#N/A,#N/A,FALSE,"포장1"}</definedName>
    <definedName name="wrn.포장1." hidden="1">{#N/A,#N/A,FALSE,"포장1";#N/A,#N/A,FALSE,"포장1"}</definedName>
    <definedName name="wrn.포장2." localSheetId="11" hidden="1">{#N/A,#N/A,FALSE,"포장2"}</definedName>
    <definedName name="wrn.포장2." localSheetId="2" hidden="1">{#N/A,#N/A,FALSE,"포장2"}</definedName>
    <definedName name="wrn.포장2." hidden="1">{#N/A,#N/A,FALSE,"포장2"}</definedName>
    <definedName name="wrn.표지." localSheetId="11" hidden="1">{#N/A,#N/A,FALSE,"표지"}</definedName>
    <definedName name="wrn.표지." hidden="1">{#N/A,#N/A,FALSE,"표지"}</definedName>
    <definedName name="wrn.표지목차." localSheetId="11" hidden="1">{#N/A,#N/A,FALSE,"표지목차"}</definedName>
    <definedName name="wrn.표지목차." localSheetId="2" hidden="1">{#N/A,#N/A,FALSE,"표지목차"}</definedName>
    <definedName name="wrn.표지목차." hidden="1">{#N/A,#N/A,FALSE,"표지목차"}</definedName>
    <definedName name="wrn.현장._.NCR._.분석." localSheetId="11" hidden="1">{#N/A,#N/A,FALSE,"현장 NCR 분석";#N/A,#N/A,FALSE,"현장품질감사";#N/A,#N/A,FALSE,"현장품질감사"}</definedName>
    <definedName name="wrn.현장._.NCR._.분석." localSheetId="2" hidden="1">{#N/A,#N/A,FALSE,"현장 NCR 분석";#N/A,#N/A,FALSE,"현장품질감사";#N/A,#N/A,FALSE,"현장품질감사"}</definedName>
    <definedName name="wrn.현장._.NCR._.분석." hidden="1">{#N/A,#N/A,FALSE,"현장 NCR 분석";#N/A,#N/A,FALSE,"현장품질감사";#N/A,#N/A,FALSE,"현장품질감사"}</definedName>
    <definedName name="wrn.혼합골재." localSheetId="11" hidden="1">{#N/A,#N/A,FALSE,"혼합골재"}</definedName>
    <definedName name="wrn.혼합골재." localSheetId="2" hidden="1">{#N/A,#N/A,FALSE,"혼합골재"}</definedName>
    <definedName name="wrn.혼합골재." hidden="1">{#N/A,#N/A,FALSE,"혼합골재"}</definedName>
    <definedName name="wrnm" localSheetId="11" hidden="1">{#N/A,#N/A,FALSE,"운반시간"}</definedName>
    <definedName name="wrnm" hidden="1">{#N/A,#N/A,FALSE,"운반시간"}</definedName>
    <definedName name="wrty" localSheetId="11" hidden="1">{"'용역비'!$A$4:$C$8"}</definedName>
    <definedName name="wrty" hidden="1">{"'용역비'!$A$4:$C$8"}</definedName>
    <definedName name="wrtyrtyrt" localSheetId="11" hidden="1">{"'용역비'!$A$4:$C$8"}</definedName>
    <definedName name="wrtyrtyrt" hidden="1">{"'용역비'!$A$4:$C$8"}</definedName>
    <definedName name="wrtywrtywr" localSheetId="11" hidden="1">{"'용역비'!$A$4:$C$8"}</definedName>
    <definedName name="wrtywrtywr" hidden="1">{"'용역비'!$A$4:$C$8"}</definedName>
    <definedName name="wuy" localSheetId="11" hidden="1">{"'용역비'!$A$4:$C$8"}</definedName>
    <definedName name="wuy" hidden="1">{"'용역비'!$A$4:$C$8"}</definedName>
    <definedName name="xhrhd" localSheetId="11" hidden="1">{#N/A,#N/A,FALSE,"토공2"}</definedName>
    <definedName name="xhrhd" hidden="1">{#N/A,#N/A,FALSE,"토공2"}</definedName>
    <definedName name="xxxx" localSheetId="2" hidden="1">{#N/A,#N/A,FALSE,"표지목차"}</definedName>
    <definedName name="xxxx" hidden="1">{#N/A,#N/A,FALSE,"표지목차"}</definedName>
    <definedName name="xxxxc" localSheetId="2" hidden="1">{#N/A,#N/A,FALSE,"조골재"}</definedName>
    <definedName name="xxxxc" hidden="1">{#N/A,#N/A,FALSE,"조골재"}</definedName>
    <definedName name="YFU" localSheetId="11" hidden="1">{"'용역비'!$A$4:$C$8"}</definedName>
    <definedName name="YFU" hidden="1">{"'용역비'!$A$4:$C$8"}</definedName>
    <definedName name="YL" localSheetId="11" hidden="1">{"'용역비'!$A$4:$C$8"}</definedName>
    <definedName name="YL" hidden="1">{"'용역비'!$A$4:$C$8"}</definedName>
    <definedName name="yu" hidden="1">{"'용역비'!$A$4:$C$8"}</definedName>
    <definedName name="YUK" localSheetId="11" hidden="1">{"'용역비'!$A$4:$C$8"}</definedName>
    <definedName name="YUK" hidden="1">{"'용역비'!$A$4:$C$8"}</definedName>
    <definedName name="yy" localSheetId="2" hidden="1">{#N/A,#N/A,FALSE,"단가표지"}</definedName>
    <definedName name="yy" hidden="1">{#N/A,#N/A,FALSE,"단가표지"}</definedName>
    <definedName name="yyyyyy" localSheetId="2" hidden="1">{#N/A,#N/A,FALSE,"조골재"}</definedName>
    <definedName name="yyyyyy" hidden="1">{#N/A,#N/A,FALSE,"조골재"}</definedName>
    <definedName name="za" localSheetId="11" hidden="1">#REF!</definedName>
    <definedName name="za" localSheetId="9" hidden="1">#REF!</definedName>
    <definedName name="za" hidden="1">#REF!</definedName>
    <definedName name="zx" localSheetId="11" hidden="1">#REF!</definedName>
    <definedName name="zx" localSheetId="9" hidden="1">#REF!</definedName>
    <definedName name="zx" hidden="1">#REF!</definedName>
    <definedName name="ZZZ" hidden="1">{#N/A,#N/A,FALSE,"배수2"}</definedName>
    <definedName name="ZZZZ" hidden="1">#REF!</definedName>
    <definedName name="ㄱㄱ" localSheetId="2" hidden="1">{#N/A,#N/A,FALSE,"단가표지"}</definedName>
    <definedName name="ㄱㄱ" hidden="1">{#N/A,#N/A,FALSE,"단가표지"}</definedName>
    <definedName name="ㄱㄱㄱ" hidden="1">{#N/A,#N/A,FALSE,"배수2"}</definedName>
    <definedName name="ㄱㄱㄱㄱㄱ" localSheetId="11" hidden="1">{"'용역비'!$A$4:$C$8"}</definedName>
    <definedName name="ㄱㄱㄱㄱㄱ" localSheetId="2" hidden="1">{#N/A,#N/A,FALSE,"2~8번"}</definedName>
    <definedName name="ㄱㄱㄱㄱㄱ" hidden="1">{#N/A,#N/A,FALSE,"2~8번"}</definedName>
    <definedName name="ㄱㄱㄱㄱㄱㄱ" localSheetId="11" hidden="1">{"'용역비'!$A$4:$C$8"}</definedName>
    <definedName name="ㄱㄱㄱㄱㄱㄱ" hidden="1">{"'용역비'!$A$4:$C$8"}</definedName>
    <definedName name="ㄱㄱㄱㄱㄱㄱㄱㄱㄱㄱㄱ" localSheetId="11" hidden="1">{#N/A,#N/A,FALSE,"전력간선"}</definedName>
    <definedName name="ㄱㄱㄱㄱㄱㄱㄱㄱㄱㄱㄱ" hidden="1">{#N/A,#N/A,FALSE,"전력간선"}</definedName>
    <definedName name="ㄱㄱㄱㄱㄱㄱㄱㄱㄱㄱㄱㄱㄱ" localSheetId="2" hidden="1">{#N/A,#N/A,FALSE,"단가표지"}</definedName>
    <definedName name="ㄱㄱㄱㄱㄱㄱㄱㄱㄱㄱㄱㄱㄱ" hidden="1">{#N/A,#N/A,FALSE,"단가표지"}</definedName>
    <definedName name="ㄱㄱㄱㄱㄱㄱㄱㄱㄱㄱㄱㄱㄱㄱㄱㄱ" localSheetId="2" hidden="1">{#N/A,#N/A,FALSE,"골재소요량";#N/A,#N/A,FALSE,"골재소요량"}</definedName>
    <definedName name="ㄱㄱㄱㄱㄱㄱㄱㄱㄱㄱㄱㄱㄱㄱㄱㄱ" hidden="1">{#N/A,#N/A,FALSE,"골재소요량";#N/A,#N/A,FALSE,"골재소요량"}</definedName>
    <definedName name="ㄱㄱㄱㄱㄱㄱㄱㄱㄱㄱㄱㄱㄱㄱㄱㄱㄱㄱ" localSheetId="2" hidden="1">{#N/A,#N/A,FALSE,"조골재"}</definedName>
    <definedName name="ㄱㄱㄱㄱㄱㄱㄱㄱㄱㄱㄱㄱㄱㄱㄱㄱㄱㄱ" hidden="1">{#N/A,#N/A,FALSE,"조골재"}</definedName>
    <definedName name="ㄱㄳㄳ" localSheetId="2" hidden="1">{#N/A,#N/A,FALSE,"2~8번"}</definedName>
    <definedName name="ㄱㄳㄳ" hidden="1">{#N/A,#N/A,FALSE,"2~8번"}</definedName>
    <definedName name="ㄱㄴ슌ㄱ" localSheetId="2" hidden="1">{#N/A,#N/A,FALSE,"단가표지"}</definedName>
    <definedName name="ㄱㄴ슌ㄱ" hidden="1">{#N/A,#N/A,FALSE,"단가표지"}</definedName>
    <definedName name="ㄱㄷㄴ슌ㄱ" localSheetId="2" hidden="1">{#N/A,#N/A,FALSE,"골재소요량";#N/A,#N/A,FALSE,"골재소요량"}</definedName>
    <definedName name="ㄱㄷㄴ슌ㄱ" hidden="1">{#N/A,#N/A,FALSE,"골재소요량";#N/A,#N/A,FALSE,"골재소요량"}</definedName>
    <definedName name="ㄱㄷㄷㄱ" localSheetId="11" hidden="1">{#N/A,#N/A,FALSE,"구조2"}</definedName>
    <definedName name="ㄱㄷㄷㄱ" hidden="1">{#N/A,#N/A,FALSE,"구조2"}</definedName>
    <definedName name="ㄱㄷㅁㅍㅅㅂ" localSheetId="2" hidden="1">{#N/A,#N/A,FALSE,"골재소요량";#N/A,#N/A,FALSE,"골재소요량"}</definedName>
    <definedName name="ㄱㄷㅁㅍㅅㅂ" hidden="1">{#N/A,#N/A,FALSE,"골재소요량";#N/A,#N/A,FALSE,"골재소요량"}</definedName>
    <definedName name="ㄱㄷㅈ" localSheetId="2" hidden="1">{#N/A,#N/A,FALSE,"골재소요량";#N/A,#N/A,FALSE,"골재소요량"}</definedName>
    <definedName name="ㄱㄷㅈ" hidden="1">{#N/A,#N/A,FALSE,"골재소요량";#N/A,#N/A,FALSE,"골재소요량"}</definedName>
    <definedName name="ㄱㄷㅎㅅㄷ4" localSheetId="2" hidden="1">{#N/A,#N/A,FALSE,"운반시간"}</definedName>
    <definedName name="ㄱㄷㅎㅅㄷ4" hidden="1">{#N/A,#N/A,FALSE,"운반시간"}</definedName>
    <definedName name="ㄱㅁㄴ" localSheetId="11" hidden="1">{#N/A,#N/A,FALSE,"토공2"}</definedName>
    <definedName name="ㄱㅁㄴ" hidden="1">{#N/A,#N/A,FALSE,"토공2"}</definedName>
    <definedName name="ㄱ슈" localSheetId="2" hidden="1">{#N/A,#N/A,FALSE,"혼합골재"}</definedName>
    <definedName name="ㄱ슈" hidden="1">{#N/A,#N/A,FALSE,"혼합골재"}</definedName>
    <definedName name="ㄱㅈㅎ" localSheetId="9" hidden="1">#REF!</definedName>
    <definedName name="ㄱㅈㅎ" hidden="1">#REF!</definedName>
    <definedName name="ㄱㅎ" localSheetId="11" hidden="1">{"'용역비'!$A$4:$C$8"}</definedName>
    <definedName name="ㄱㅎ" hidden="1">{"'용역비'!$A$4:$C$8"}</definedName>
    <definedName name="가도" localSheetId="9" hidden="1">#REF!</definedName>
    <definedName name="가도" hidden="1">#REF!</definedName>
    <definedName name="간성" localSheetId="11" hidden="1">{#N/A,#N/A,FALSE,"전력간선"}</definedName>
    <definedName name="간성" hidden="1">{#N/A,#N/A,FALSE,"전력간선"}</definedName>
    <definedName name="감" localSheetId="9" hidden="1">#REF!</definedName>
    <definedName name="감" hidden="1">#REF!</definedName>
    <definedName name="갑지8" localSheetId="11" hidden="1">{#N/A,#N/A,FALSE,"전력간선"}</definedName>
    <definedName name="갑지8" hidden="1">{#N/A,#N/A,FALSE,"전력간선"}</definedName>
    <definedName name="갑지변경" localSheetId="11" hidden="1">{#N/A,#N/A,FALSE,"전력간선"}</definedName>
    <definedName name="갑지변경" hidden="1">{#N/A,#N/A,FALSE,"전력간선"}</definedName>
    <definedName name="갑지변경1" localSheetId="11" hidden="1">{#N/A,#N/A,FALSE,"전력간선"}</definedName>
    <definedName name="갑지변경1" hidden="1">{#N/A,#N/A,FALSE,"전력간선"}</definedName>
    <definedName name="갑지변경2" localSheetId="11" hidden="1">{#N/A,#N/A,FALSE,"전력간선"}</definedName>
    <definedName name="갑지변경2" hidden="1">{#N/A,#N/A,FALSE,"전력간선"}</definedName>
    <definedName name="갑지변경3" localSheetId="11" hidden="1">{#N/A,#N/A,FALSE,"전력간선"}</definedName>
    <definedName name="갑지변경3" hidden="1">{#N/A,#N/A,FALSE,"전력간선"}</definedName>
    <definedName name="갑지변경4" localSheetId="11" hidden="1">{#N/A,#N/A,FALSE,"전력간선"}</definedName>
    <definedName name="갑지변경4" hidden="1">{#N/A,#N/A,FALSE,"전력간선"}</definedName>
    <definedName name="갑지변경5" localSheetId="11" hidden="1">{#N/A,#N/A,FALSE,"전력간선"}</definedName>
    <definedName name="갑지변경5" hidden="1">{#N/A,#N/A,FALSE,"전력간선"}</definedName>
    <definedName name="갑지변경6" localSheetId="11" hidden="1">{#N/A,#N/A,FALSE,"전력간선"}</definedName>
    <definedName name="갑지변경6" hidden="1">{#N/A,#N/A,FALSE,"전력간선"}</definedName>
    <definedName name="갑지변경7" localSheetId="11" hidden="1">{#N/A,#N/A,FALSE,"전력간선"}</definedName>
    <definedName name="갑지변경7" hidden="1">{#N/A,#N/A,FALSE,"전력간선"}</definedName>
    <definedName name="갑지변경8" localSheetId="11" hidden="1">{#N/A,#N/A,FALSE,"전력간선"}</definedName>
    <definedName name="갑지변경8" hidden="1">{#N/A,#N/A,FALSE,"전력간선"}</definedName>
    <definedName name="갑지변경9" localSheetId="11" hidden="1">{#N/A,#N/A,FALSE,"전력간선"}</definedName>
    <definedName name="갑지변경9" hidden="1">{#N/A,#N/A,FALSE,"전력간선"}</definedName>
    <definedName name="강" localSheetId="2" hidden="1">{"'제10장(표)'!$A$5:$L$10"}</definedName>
    <definedName name="강" hidden="1">{"'제10장(표)'!$A$5:$L$10"}</definedName>
    <definedName name="강정근" localSheetId="2" hidden="1">{"'도면'!$G$62:$H$63","'도면'!$G$62:$H$63"}</definedName>
    <definedName name="강정근" hidden="1">{"'도면'!$G$62:$H$63","'도면'!$G$62:$H$63"}</definedName>
    <definedName name="개거" localSheetId="9" hidden="1">#REF!</definedName>
    <definedName name="개거" hidden="1">#REF!</definedName>
    <definedName name="개거위치..." localSheetId="9" hidden="1">#REF!</definedName>
    <definedName name="개거위치..." hidden="1">#REF!</definedName>
    <definedName name="건축" localSheetId="11" hidden="1">{#N/A,#N/A,TRUE,"토적및재료집계";#N/A,#N/A,TRUE,"토적및재료집계";#N/A,#N/A,TRUE,"단위량"}</definedName>
    <definedName name="건축" hidden="1">{#N/A,#N/A,TRUE,"토적및재료집계";#N/A,#N/A,TRUE,"토적및재료집계";#N/A,#N/A,TRUE,"단위량"}</definedName>
    <definedName name="검사내역" hidden="1">{"'Sheet1'!$A$1:$H$49"}</definedName>
    <definedName name="검증" localSheetId="2"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검증"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견적의뢰" localSheetId="11" hidden="1">{#N/A,#N/A,FALSE,"신청통보";#N/A,#N/A,FALSE,"기성확인서";#N/A,#N/A,FALSE,"기성내역서"}</definedName>
    <definedName name="견적의뢰" hidden="1">{#N/A,#N/A,FALSE,"신청통보";#N/A,#N/A,FALSE,"기성확인서";#N/A,#N/A,FALSE,"기성내역서"}</definedName>
    <definedName name="경계블럭연장" localSheetId="11" hidden="1">#REF!</definedName>
    <definedName name="경계블럭연장" hidden="1">#REF!</definedName>
    <definedName name="경비집계" localSheetId="11" hidden="1">{"'용역비'!$A$4:$C$8"}</definedName>
    <definedName name="경비집계" hidden="1">{"'용역비'!$A$4:$C$8"}</definedName>
    <definedName name="고경준" localSheetId="2" hidden="1">{#N/A,#N/A,FALSE,"골재소요량";#N/A,#N/A,FALSE,"골재소요량"}</definedName>
    <definedName name="고경준" hidden="1">{#N/A,#N/A,FALSE,"골재소요량";#N/A,#N/A,FALSE,"골재소요량"}</definedName>
    <definedName name="고고" localSheetId="2" hidden="1">{#N/A,#N/A,FALSE,"조골재"}</definedName>
    <definedName name="고고" hidden="1">{#N/A,#N/A,FALSE,"조골재"}</definedName>
    <definedName name="고고.." localSheetId="2" hidden="1">{#N/A,#N/A,FALSE,"골재소요량";#N/A,#N/A,FALSE,"골재소요량"}</definedName>
    <definedName name="고고.." hidden="1">{#N/A,#N/A,FALSE,"골재소요량";#N/A,#N/A,FALSE,"골재소요량"}</definedName>
    <definedName name="골재" localSheetId="2" hidden="1">{#N/A,#N/A,FALSE,"골재소요량";#N/A,#N/A,FALSE,"골재소요량"}</definedName>
    <definedName name="골재" hidden="1">{#N/A,#N/A,FALSE,"골재소요량";#N/A,#N/A,FALSE,"골재소요량"}</definedName>
    <definedName name="골재.시멘트집꼐" localSheetId="9" hidden="1">#REF!</definedName>
    <definedName name="골재.시멘트집꼐" hidden="1">#REF!</definedName>
    <definedName name="공과잡비"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과잡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localSheetId="11" hidden="1">#REF!</definedName>
    <definedName name="공기1" hidden="1">#REF!</definedName>
    <definedName name="공사공정"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사공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사원가계산서" localSheetId="11" hidden="1">{#N/A,#N/A,TRUE,"토적및재료집계";#N/A,#N/A,TRUE,"토적및재료집계";#N/A,#N/A,TRUE,"단위량"}</definedName>
    <definedName name="공사원가계산서" hidden="1">{#N/A,#N/A,TRUE,"토적및재료집계";#N/A,#N/A,TRUE,"토적및재료집계";#N/A,#N/A,TRUE,"단위량"}</definedName>
    <definedName name="공정1"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정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제" localSheetId="11" hidden="1">#REF!</definedName>
    <definedName name="공제" hidden="1">#REF!</definedName>
    <definedName name="관부사" localSheetId="11" hidden="1">{#N/A,#N/A,FALSE,"현장 NCR 분석";#N/A,#N/A,FALSE,"현장품질감사";#N/A,#N/A,FALSE,"현장품질감사"}</definedName>
    <definedName name="관부사" hidden="1">{#N/A,#N/A,FALSE,"현장 NCR 분석";#N/A,#N/A,FALSE,"현장품질감사";#N/A,#N/A,FALSE,"현장품질감사"}</definedName>
    <definedName name="교정" localSheetId="11" hidden="1">{#N/A,#N/A,FALSE,"전력간선"}</definedName>
    <definedName name="교정" hidden="1">{#N/A,#N/A,FALSE,"전력간선"}</definedName>
    <definedName name="구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간" hidden="1">{#N/A,#N/A,FALSE,"손익표지";#N/A,#N/A,FALSE,"손익계산";#N/A,#N/A,FALSE,"일반관리비";#N/A,#N/A,FALSE,"영업외수익";#N/A,#N/A,FALSE,"영업외비용";#N/A,#N/A,FALSE,"매출액";#N/A,#N/A,FALSE,"요약손익";#N/A,#N/A,FALSE,"요약대차";#N/A,#N/A,FALSE,"매출채권현황";#N/A,#N/A,FALSE,"매출채권명세"}</definedName>
    <definedName name="구산갑지" localSheetId="11" hidden="1">#REF!</definedName>
    <definedName name="구산갑지" hidden="1">#REF!</definedName>
    <definedName name="구조물" hidden="1">{#N/A,#N/A,FALSE,"속도"}</definedName>
    <definedName name="굴" localSheetId="11" hidden="1">{#N/A,#N/A,FALSE,"전력간선"}</definedName>
    <definedName name="굴" hidden="1">{#N/A,#N/A,FALSE,"전력간선"}</definedName>
    <definedName name="균열" localSheetId="11" hidden="1">{"'을'!$A$1:$Z$93"}</definedName>
    <definedName name="균열" hidden="1">{"'을'!$A$1:$Z$93"}</definedName>
    <definedName name="균열2" localSheetId="11" hidden="1">{"'을'!$A$1:$Z$93"}</definedName>
    <definedName name="균열2" hidden="1">{"'을'!$A$1:$Z$93"}</definedName>
    <definedName name="균열3" localSheetId="11" hidden="1">{"'을'!$A$1:$Z$93"}</definedName>
    <definedName name="균열3" hidden="1">{"'을'!$A$1:$Z$93"}</definedName>
    <definedName name="귯ㄳ" localSheetId="2" hidden="1">{#N/A,#N/A,FALSE,"표지목차"}</definedName>
    <definedName name="귯ㄳ" hidden="1">{#N/A,#N/A,FALSE,"표지목차"}</definedName>
    <definedName name="귯늇ㄳ" localSheetId="2" hidden="1">{#N/A,#N/A,FALSE,"단가표지"}</definedName>
    <definedName name="귯늇ㄳ" hidden="1">{#N/A,#N/A,FALSE,"단가표지"}</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주조딕"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주조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준형" localSheetId="2" hidden="1">{#N/A,#N/A,FALSE,"골재소요량";#N/A,#N/A,FALSE,"골재소요량"}</definedName>
    <definedName name="김준형" hidden="1">{#N/A,#N/A,FALSE,"골재소요량";#N/A,#N/A,FALSE,"골재소요량"}</definedName>
    <definedName name="깨기" hidden="1">#REF!</definedName>
    <definedName name="꽃" localSheetId="11" hidden="1">{#N/A,#N/A,FALSE,"전력간선"}</definedName>
    <definedName name="꽃" hidden="1">{#N/A,#N/A,FALSE,"전력간선"}</definedName>
    <definedName name="ㄳ" localSheetId="11" hidden="1">{#N/A,#N/A,FALSE,"단가표지"}</definedName>
    <definedName name="ㄳ" hidden="1">{#N/A,#N/A,FALSE,"단가표지"}</definedName>
    <definedName name="ㄳㄱ" localSheetId="11" hidden="1">{"'용역비'!$A$4:$C$8"}</definedName>
    <definedName name="ㄳㄱ" hidden="1">{"'용역비'!$A$4:$C$8"}</definedName>
    <definedName name="ㄳㄳㄳㄳ" localSheetId="11" hidden="1">{"'용역비'!$A$4:$C$8"}</definedName>
    <definedName name="ㄳㄳㄳㄳ" hidden="1">{"'용역비'!$A$4:$C$8"}</definedName>
    <definedName name="ㄳㄳㅅ셔ㅛㅅ" localSheetId="2" hidden="1">{#N/A,#N/A,FALSE,"단가표지"}</definedName>
    <definedName name="ㄳㄳㅅ셔ㅛㅅ" hidden="1">{#N/A,#N/A,FALSE,"단가표지"}</definedName>
    <definedName name="ㄳㄳㅎㄱㅎㄱㄷ" localSheetId="2" hidden="1">{#N/A,#N/A,FALSE,"조골재"}</definedName>
    <definedName name="ㄳㄳㅎㄱㅎㄱㄷ" hidden="1">{#N/A,#N/A,FALSE,"조골재"}</definedName>
    <definedName name="ㄳㄷ" localSheetId="2" hidden="1">{#N/A,#N/A,FALSE,"표지목차"}</definedName>
    <definedName name="ㄳㄷ" hidden="1">{#N/A,#N/A,FALSE,"표지목차"}</definedName>
    <definedName name="ㄳㅍㅁㅁ규" localSheetId="2" hidden="1">{#N/A,#N/A,FALSE,"표지목차"}</definedName>
    <definedName name="ㄳㅍㅁㅁ규" hidden="1">{#N/A,#N/A,FALSE,"표지목차"}</definedName>
    <definedName name="ㄴㄱㄹ" localSheetId="11" hidden="1">#REF!</definedName>
    <definedName name="ㄴㄱㄹ" localSheetId="9" hidden="1">#REF!</definedName>
    <definedName name="ㄴㄱㄹ" hidden="1">#REF!</definedName>
    <definedName name="ㄴㄴ" hidden="1">{#N/A,#N/A,FALSE,"전력간선"}</definedName>
    <definedName name="ㄴㄴㄴ" localSheetId="11" hidden="1">{#N/A,#N/A,FALSE,"골재소요량";#N/A,#N/A,FALSE,"골재소요량"}</definedName>
    <definedName name="ㄴㄴㄴ" hidden="1">{#N/A,#N/A,FALSE,"골재소요량";#N/A,#N/A,FALSE,"골재소요량"}</definedName>
    <definedName name="ㄴㄻㄴㅇ" localSheetId="11" hidden="1">{#N/A,#N/A,FALSE,"조골재"}</definedName>
    <definedName name="ㄴㄻㄴㅇ" hidden="1">{#N/A,#N/A,FALSE,"조골재"}</definedName>
    <definedName name="ㄴㅁ" localSheetId="9" hidden="1">#REF!</definedName>
    <definedName name="ㄴㅁ" hidden="1">#REF!</definedName>
    <definedName name="ㄴㅁㄹㄴㅁㅇㄴㅇㅁㄹㄴ" localSheetId="11" hidden="1">{#N/A,#N/A,FALSE,"단가표지"}</definedName>
    <definedName name="ㄴㅁㄹㄴㅁㅇㄴㅇㅁㄹㄴ" hidden="1">{#N/A,#N/A,FALSE,"단가표지"}</definedName>
    <definedName name="ㄴㅇㄹ" hidden="1">{#N/A,#N/A,FALSE,"전력간선"}</definedName>
    <definedName name="ㄴㅇㄹㄹㄹㄹㄹ" localSheetId="11" hidden="1">{#N/A,#N/A,FALSE,"전력간선"}</definedName>
    <definedName name="ㄴㅇㄹㄹㄹㄹㄹ" hidden="1">{#N/A,#N/A,FALSE,"전력간선"}</definedName>
    <definedName name="ㄴㅇㄹㅇㄴㄹㅇㄴㄹ" localSheetId="11" hidden="1">{"'용역비'!$A$4:$C$8"}</definedName>
    <definedName name="ㄴㅇㄹㅇㄴㄹㅇㄴㄹ" hidden="1">{"'용역비'!$A$4:$C$8"}</definedName>
    <definedName name="ㄴㅇㄻㄴㅇㄹ" localSheetId="11" hidden="1">{"'용역비'!$A$4:$C$8"}</definedName>
    <definedName name="ㄴㅇㄻㄴㅇㄹ" hidden="1">{"'용역비'!$A$4:$C$8"}</definedName>
    <definedName name="나다" localSheetId="11" hidden="1">{"'을'!$A$1:$Z$93"}</definedName>
    <definedName name="나다" hidden="1">{"'을'!$A$1:$Z$93"}</definedName>
    <definedName name="나무" localSheetId="11" hidden="1">{#N/A,#N/A,FALSE,"전력간선"}</definedName>
    <definedName name="나무" hidden="1">{#N/A,#N/A,FALSE,"전력간선"}</definedName>
    <definedName name="나무나무나무" localSheetId="11" hidden="1">{#N/A,#N/A,FALSE,"전력간선"}</definedName>
    <definedName name="나무나무나무" hidden="1">{#N/A,#N/A,FALSE,"전력간선"}</definedName>
    <definedName name="나무뤼ㅏㅎ" localSheetId="11" hidden="1">{#N/A,#N/A,FALSE,"전력간선"}</definedName>
    <definedName name="나무뤼ㅏㅎ" hidden="1">{#N/A,#N/A,FALSE,"전력간선"}</definedName>
    <definedName name="나뭉하" localSheetId="11" hidden="1">{#N/A,#N/A,FALSE,"전력간선"}</definedName>
    <definedName name="나뭉하" hidden="1">{#N/A,#N/A,FALSE,"전력간선"}</definedName>
    <definedName name="난ㅁ" localSheetId="11" hidden="1">{#N/A,#N/A,FALSE,"전력간선"}</definedName>
    <definedName name="난ㅁ" hidden="1">{#N/A,#N/A,FALSE,"전력간선"}</definedName>
    <definedName name="내역서" hidden="1">{#N/A,#N/A,FALSE,"현장 NCR 분석";#N/A,#N/A,FALSE,"현장품질감사";#N/A,#N/A,FALSE,"현장품질감사"}</definedName>
    <definedName name="내역서3안" localSheetId="11" hidden="1">{"'제10장(표)'!$A$5:$L$10"}</definedName>
    <definedName name="내역서3안" hidden="1">{"'제10장(표)'!$A$5:$L$10"}</definedName>
    <definedName name="내역서갑지" localSheetId="11" hidden="1">{#N/A,#N/A,FALSE,"전력간선"}</definedName>
    <definedName name="내역서갑지" hidden="1">{#N/A,#N/A,FALSE,"전력간선"}</definedName>
    <definedName name="내역서갑지1" localSheetId="11" hidden="1">{#N/A,#N/A,FALSE,"전력간선"}</definedName>
    <definedName name="내역서갑지1" hidden="1">{#N/A,#N/A,FALSE,"전력간선"}</definedName>
    <definedName name="내역서갑지2" localSheetId="11" hidden="1">{#N/A,#N/A,FALSE,"전력간선"}</definedName>
    <definedName name="내역서갑지2" hidden="1">{#N/A,#N/A,FALSE,"전력간선"}</definedName>
    <definedName name="내역서갑지3" localSheetId="11" hidden="1">{#N/A,#N/A,FALSE,"전력간선"}</definedName>
    <definedName name="내역서갑지3" hidden="1">{#N/A,#N/A,FALSE,"전력간선"}</definedName>
    <definedName name="내역서갑지4" localSheetId="11" hidden="1">{#N/A,#N/A,FALSE,"전력간선"}</definedName>
    <definedName name="내역서갑지4" hidden="1">{#N/A,#N/A,FALSE,"전력간선"}</definedName>
    <definedName name="내역서갑지5" localSheetId="11" hidden="1">{#N/A,#N/A,FALSE,"전력간선"}</definedName>
    <definedName name="내역서갑지5" hidden="1">{#N/A,#N/A,FALSE,"전력간선"}</definedName>
    <definedName name="내역서갑지6" localSheetId="11" hidden="1">{#N/A,#N/A,FALSE,"전력간선"}</definedName>
    <definedName name="내역서갑지6" hidden="1">{#N/A,#N/A,FALSE,"전력간선"}</definedName>
    <definedName name="내역서갑지7" localSheetId="11" hidden="1">{#N/A,#N/A,FALSE,"전력간선"}</definedName>
    <definedName name="내역서갑지7" hidden="1">{#N/A,#N/A,FALSE,"전력간선"}</definedName>
    <definedName name="내역서갑지8" localSheetId="11" hidden="1">{#N/A,#N/A,FALSE,"전력간선"}</definedName>
    <definedName name="내역서갑지8" hidden="1">{#N/A,#N/A,FALSE,"전력간선"}</definedName>
    <definedName name="내역서갑지9" localSheetId="11" hidden="1">{#N/A,#N/A,FALSE,"전력간선"}</definedName>
    <definedName name="내역서갑지9" hidden="1">{#N/A,#N/A,FALSE,"전력간선"}</definedName>
    <definedName name="넣러" localSheetId="11" hidden="1">{#N/A,#N/A,FALSE,"표지목차"}</definedName>
    <definedName name="넣러" hidden="1">{#N/A,#N/A,FALSE,"표지목차"}</definedName>
    <definedName name="노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선" hidden="1">{#N/A,#N/A,FALSE,"손익표지";#N/A,#N/A,FALSE,"손익계산";#N/A,#N/A,FALSE,"일반관리비";#N/A,#N/A,FALSE,"영업외수익";#N/A,#N/A,FALSE,"영업외비용";#N/A,#N/A,FALSE,"매출액";#N/A,#N/A,FALSE,"요약손익";#N/A,#N/A,FALSE,"요약대차";#N/A,#N/A,FALSE,"매출채권현황";#N/A,#N/A,FALSE,"매출채권명세"}</definedName>
    <definedName name="노선구조"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선구조" hidden="1">{#N/A,#N/A,FALSE,"손익표지";#N/A,#N/A,FALSE,"손익계산";#N/A,#N/A,FALSE,"일반관리비";#N/A,#N/A,FALSE,"영업외수익";#N/A,#N/A,FALSE,"영업외비용";#N/A,#N/A,FALSE,"매출액";#N/A,#N/A,FALSE,"요약손익";#N/A,#N/A,FALSE,"요약대차";#N/A,#N/A,FALSE,"매출채권현황";#N/A,#N/A,FALSE,"매출채권명세"}</definedName>
    <definedName name="노원문화"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놓ㄹ노" localSheetId="11" hidden="1">{#N/A,#N/A,FALSE,"골재소요량";#N/A,#N/A,FALSE,"골재소요량"}</definedName>
    <definedName name="놓ㄹ노" hidden="1">{#N/A,#N/A,FALSE,"골재소요량";#N/A,#N/A,FALSE,"골재소요량"}</definedName>
    <definedName name="뉵ㅎㅅㄳㅁ" localSheetId="2" hidden="1">{#N/A,#N/A,FALSE,"혼합골재"}</definedName>
    <definedName name="뉵ㅎㅅㄳㅁ" hidden="1">{#N/A,#N/A,FALSE,"혼합골재"}</definedName>
    <definedName name="ㄶㅇㅀㄴㅇ" localSheetId="11" hidden="1">{#N/A,#N/A,FALSE,"표지목차"}</definedName>
    <definedName name="ㄶㅇㅀㄴㅇ" hidden="1">{#N/A,#N/A,FALSE,"표지목차"}</definedName>
    <definedName name="ㄷ" localSheetId="11" hidden="1">{#N/A,#N/A,TRUE,"토적및재료집계";#N/A,#N/A,TRUE,"토적및재료집계";#N/A,#N/A,TRUE,"단위량"}</definedName>
    <definedName name="ㄷ" localSheetId="2" hidden="1">{#N/A,#N/A,FALSE,"표지목차"}</definedName>
    <definedName name="ㄷ" hidden="1">{#N/A,#N/A,FALSE,"표지목차"}</definedName>
    <definedName name="ㄷ6ㅓ" localSheetId="11" hidden="1">{"'용역비'!$A$4:$C$8"}</definedName>
    <definedName name="ㄷ6ㅓ" hidden="1">{"'용역비'!$A$4:$C$8"}</definedName>
    <definedName name="ㄷㄱ" localSheetId="11" hidden="1">{#N/A,#N/A,FALSE,"단가표지"}</definedName>
    <definedName name="ㄷㄱ" hidden="1">{#N/A,#N/A,FALSE,"단가표지"}</definedName>
    <definedName name="ㄷㄱㄱㅈㅍㄷ" localSheetId="2" hidden="1">{#N/A,#N/A,FALSE,"골재소요량";#N/A,#N/A,FALSE,"골재소요량"}</definedName>
    <definedName name="ㄷㄱㄱㅈㅍㄷ" hidden="1">{#N/A,#N/A,FALSE,"골재소요량";#N/A,#N/A,FALSE,"골재소요량"}</definedName>
    <definedName name="ㄷㄱㄴㄴㅁ" localSheetId="2" hidden="1">{#N/A,#N/A,FALSE,"단가표지"}</definedName>
    <definedName name="ㄷㄱㄴㄴㅁ" hidden="1">{#N/A,#N/A,FALSE,"단가표지"}</definedName>
    <definedName name="ㄷㄱㄷㄱㄷㄱ" localSheetId="11" hidden="1">{"'용역비'!$A$4:$C$8"}</definedName>
    <definedName name="ㄷㄱㄷㄱㄷㄱ" hidden="1">{"'용역비'!$A$4:$C$8"}</definedName>
    <definedName name="ㄷㄱㅈㅍ" localSheetId="2" hidden="1">{#N/A,#N/A,FALSE,"표지목차"}</definedName>
    <definedName name="ㄷㄱㅈㅍ" hidden="1">{#N/A,#N/A,FALSE,"표지목차"}</definedName>
    <definedName name="ㄷㄱㅍㄷㄱ뮤" localSheetId="2" hidden="1">{#N/A,#N/A,FALSE,"2~8번"}</definedName>
    <definedName name="ㄷㄱㅍㄷㄱ뮤" hidden="1">{#N/A,#N/A,FALSE,"2~8번"}</definedName>
    <definedName name="ㄷㄱㅍㅁㄷㄱ" localSheetId="2" hidden="1">{#N/A,#N/A,FALSE,"골재소요량";#N/A,#N/A,FALSE,"골재소요량"}</definedName>
    <definedName name="ㄷㄱㅍㅁㄷㄱ" hidden="1">{#N/A,#N/A,FALSE,"골재소요량";#N/A,#N/A,FALSE,"골재소요량"}</definedName>
    <definedName name="ㄷ교고ㅗㄹ호" localSheetId="2"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ㄷ교고ㅗㄹ호"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ㄷㄴㅁㄱㅇ" localSheetId="2" hidden="1">{#N/A,#N/A,FALSE,"골재소요량";#N/A,#N/A,FALSE,"골재소요량"}</definedName>
    <definedName name="ㄷㄴㅁㄱㅇ" hidden="1">{#N/A,#N/A,FALSE,"골재소요량";#N/A,#N/A,FALSE,"골재소요량"}</definedName>
    <definedName name="ㄷㄷ" localSheetId="11" hidden="1">{#N/A,#N/A,FALSE,"결의서";#N/A,#N/A,FALSE,"내역서";#N/A,#N/A,FALSE,"도급예상";#N/A,#N/A,FALSE,"시방서"}</definedName>
    <definedName name="ㄷㄷ" localSheetId="2" hidden="1">{#N/A,#N/A,FALSE,"혼합골재"}</definedName>
    <definedName name="ㄷㄷ" hidden="1">{#N/A,#N/A,FALSE,"혼합골재"}</definedName>
    <definedName name="ㄷㄷㄱㄱ" localSheetId="11" hidden="1">{"'용역비'!$A$4:$C$8"}</definedName>
    <definedName name="ㄷㄷㄱㄱ" hidden="1">{"'용역비'!$A$4:$C$8"}</definedName>
    <definedName name="ㄷㄷㄷ" hidden="1">{#N/A,#N/A,FALSE,"운반시간"}</definedName>
    <definedName name="ㄷㄷㄷㄷㄷㄷ" localSheetId="2" hidden="1">{#N/A,#N/A,FALSE,"운반시간"}</definedName>
    <definedName name="ㄷㄷㄷㄷㄷㄷ" hidden="1">{#N/A,#N/A,FALSE,"운반시간"}</definedName>
    <definedName name="ㄷㄷㅈㅊㅍㅌㅋ" localSheetId="2" hidden="1">{#N/A,#N/A,FALSE,"조골재"}</definedName>
    <definedName name="ㄷㄷㅈㅊㅍㅌㅋ" hidden="1">{#N/A,#N/A,FALSE,"조골재"}</definedName>
    <definedName name="ㄷㅁㄱㄱㄱ" localSheetId="11" hidden="1">{#N/A,#N/A,FALSE,"전력간선"}</definedName>
    <definedName name="ㄷㅁㄱㄱㄱ" hidden="1">{#N/A,#N/A,FALSE,"전력간선"}</definedName>
    <definedName name="ㄷㅇㄹ" localSheetId="2" hidden="1">{#N/A,#N/A,FALSE,"단가표지"}</definedName>
    <definedName name="ㄷㅇㄹ" hidden="1">{#N/A,#N/A,FALSE,"단가표지"}</definedName>
    <definedName name="ㄷㅈ" localSheetId="11" hidden="1">{"'을'!$A$1:$Z$93"}</definedName>
    <definedName name="ㄷㅈ" hidden="1">{"'을'!$A$1:$Z$93"}</definedName>
    <definedName name="ㄷㅈㄱㄱ" localSheetId="2" hidden="1">{#N/A,#N/A,FALSE,"조골재"}</definedName>
    <definedName name="ㄷㅈㄱㄱ" hidden="1">{#N/A,#N/A,FALSE,"조골재"}</definedName>
    <definedName name="ㄷㅈㄹㄹㄷㄹㅇㄴㅇㄴㄹ" localSheetId="2" hidden="1">{#N/A,#N/A,FALSE,"조골재"}</definedName>
    <definedName name="ㄷㅈㄹㄹㄷㄹㅇㄴㅇㄴㄹ" hidden="1">{#N/A,#N/A,FALSE,"조골재"}</definedName>
    <definedName name="ㄷㅈㅈㄱㄷㄱㄷㅈ" localSheetId="2" hidden="1">{#N/A,#N/A,FALSE,"운반시간"}</definedName>
    <definedName name="ㄷㅈㅈㄱㄷㄱㄷㅈ" hidden="1">{#N/A,#N/A,FALSE,"운반시간"}</definedName>
    <definedName name="ㄷㅈㅍㄱㄷㅈㄱ" localSheetId="2" hidden="1">{#N/A,#N/A,FALSE,"2~8번"}</definedName>
    <definedName name="ㄷㅈㅍㄱㄷㅈㄱ" hidden="1">{#N/A,#N/A,FALSE,"2~8번"}</definedName>
    <definedName name="ㄷㅍㅂ" localSheetId="11" hidden="1">{"'용역비'!$A$4:$C$8"}</definedName>
    <definedName name="ㄷㅍㅂ" hidden="1">{"'용역비'!$A$4:$C$8"}</definedName>
    <definedName name="달성1" localSheetId="11" hidden="1">{#N/A,#N/A,FALSE,"전력간선"}</definedName>
    <definedName name="달성1" hidden="1">{#N/A,#N/A,FALSE,"전력간선"}</definedName>
    <definedName name="대2" localSheetId="11" hidden="1">{"'을'!$A$1:$Z$93"}</definedName>
    <definedName name="대2" hidden="1">{"'을'!$A$1:$Z$93"}</definedName>
    <definedName name="대가2" localSheetId="11" hidden="1">{"'을'!$A$1:$Z$93"}</definedName>
    <definedName name="대가2" hidden="1">{"'을'!$A$1:$Z$93"}</definedName>
    <definedName name="대가3" localSheetId="11" hidden="1">{"'을'!$A$1:$Z$93"}</definedName>
    <definedName name="대가3" hidden="1">{"'을'!$A$1:$Z$93"}</definedName>
    <definedName name="대가4" localSheetId="11" hidden="1">{"'을'!$A$1:$Z$93"}</definedName>
    <definedName name="대가4" hidden="1">{"'을'!$A$1:$Z$93"}</definedName>
    <definedName name="대가수정" localSheetId="11" hidden="1">{"'을'!$A$1:$Z$93"}</definedName>
    <definedName name="대가수정" hidden="1">{"'을'!$A$1:$Z$93"}</definedName>
    <definedName name="대구경천공" localSheetId="2"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경천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비표2" localSheetId="11" hidden="1">{#N/A,#N/A,FALSE,"증감대비표";#N/A,#N/A,FALSE,"결의서";#N/A,#N/A,FALSE,"내역서";#N/A,#N/A,FALSE,"도급예상"}</definedName>
    <definedName name="대비표2" hidden="1">{#N/A,#N/A,FALSE,"증감대비표";#N/A,#N/A,FALSE,"결의서";#N/A,#N/A,FALSE,"내역서";#N/A,#N/A,FALSE,"도급예상"}</definedName>
    <definedName name="도급내역111" localSheetId="11" hidden="1">{#N/A,#N/A,FALSE,"결의서";#N/A,#N/A,FALSE,"내역서";#N/A,#N/A,FALSE,"비목별예상공사";#N/A,#N/A,FALSE,"도급예상";#N/A,#N/A,FALSE,"산출내역"}</definedName>
    <definedName name="도급내역111" hidden="1">{#N/A,#N/A,FALSE,"결의서";#N/A,#N/A,FALSE,"내역서";#N/A,#N/A,FALSE,"비목별예상공사";#N/A,#N/A,FALSE,"도급예상";#N/A,#N/A,FALSE,"산출내역"}</definedName>
    <definedName name="도급내역2" localSheetId="11" hidden="1">{#N/A,#N/A,FALSE,"증감대비표";#N/A,#N/A,FALSE,"결의서";#N/A,#N/A,FALSE,"내역서";#N/A,#N/A,FALSE,"도급예상"}</definedName>
    <definedName name="도급내역2" hidden="1">{#N/A,#N/A,FALSE,"증감대비표";#N/A,#N/A,FALSE,"결의서";#N/A,#N/A,FALSE,"내역서";#N/A,#N/A,FALSE,"도급예상"}</definedName>
    <definedName name="도급대비" localSheetId="11" hidden="1">{#N/A,#N/A,FALSE,"신청통보";#N/A,#N/A,FALSE,"기성확인서";#N/A,#N/A,FALSE,"기성내역서"}</definedName>
    <definedName name="도급대비" hidden="1">{#N/A,#N/A,FALSE,"신청통보";#N/A,#N/A,FALSE,"기성확인서";#N/A,#N/A,FALSE,"기성내역서"}</definedName>
    <definedName name="도급대비2" localSheetId="11" hidden="1">{#N/A,#N/A,FALSE,"신청통보";#N/A,#N/A,FALSE,"기성확인서";#N/A,#N/A,FALSE,"기성내역서"}</definedName>
    <definedName name="도급대비2" hidden="1">{#N/A,#N/A,FALSE,"신청통보";#N/A,#N/A,FALSE,"기성확인서";#N/A,#N/A,FALSE,"기성내역서"}</definedName>
    <definedName name="도급대비표" localSheetId="11" hidden="1">{#N/A,#N/A,FALSE,"결의서";#N/A,#N/A,FALSE,"내역서";#N/A,#N/A,FALSE,"도급예상";#N/A,#N/A,FALSE,"시방서"}</definedName>
    <definedName name="도급대비표" hidden="1">{#N/A,#N/A,FALSE,"결의서";#N/A,#N/A,FALSE,"내역서";#N/A,#N/A,FALSE,"도급예상";#N/A,#N/A,FALSE,"시방서"}</definedName>
    <definedName name="도급대비표1" localSheetId="11" hidden="1">{#N/A,#N/A,FALSE,"결의서";#N/A,#N/A,FALSE,"내역서";#N/A,#N/A,FALSE,"도급예상";#N/A,#N/A,FALSE,"시방서"}</definedName>
    <definedName name="도급대비표1" hidden="1">{#N/A,#N/A,FALSE,"결의서";#N/A,#N/A,FALSE,"내역서";#N/A,#N/A,FALSE,"도급예상";#N/A,#N/A,FALSE,"시방서"}</definedName>
    <definedName name="도급대비표3" localSheetId="11" hidden="1">{#N/A,#N/A,FALSE,"증감대비표";#N/A,#N/A,FALSE,"결의서";#N/A,#N/A,FALSE,"내역서";#N/A,#N/A,FALSE,"도급예상"}</definedName>
    <definedName name="도급대비표3" hidden="1">{#N/A,#N/A,FALSE,"증감대비표";#N/A,#N/A,FALSE,"결의서";#N/A,#N/A,FALSE,"내역서";#N/A,#N/A,FALSE,"도급예상"}</definedName>
    <definedName name="도급반영확인서" localSheetId="11" hidden="1">{#N/A,#N/A,FALSE,"신청통보";#N/A,#N/A,FALSE,"기성확인서";#N/A,#N/A,FALSE,"기성내역서"}</definedName>
    <definedName name="도급반영확인서" hidden="1">{#N/A,#N/A,FALSE,"신청통보";#N/A,#N/A,FALSE,"기성확인서";#N/A,#N/A,FALSE,"기성내역서"}</definedName>
    <definedName name="도급예상1" localSheetId="11" hidden="1">{#N/A,#N/A,FALSE,"결의서";#N/A,#N/A,FALSE,"내역서";#N/A,#N/A,FALSE,"도급예상";#N/A,#N/A,FALSE,"시방서"}</definedName>
    <definedName name="도급예상1" hidden="1">{#N/A,#N/A,FALSE,"결의서";#N/A,#N/A,FALSE,"내역서";#N/A,#N/A,FALSE,"도급예상";#N/A,#N/A,FALSE,"시방서"}</definedName>
    <definedName name="도급표" localSheetId="11" hidden="1">{#N/A,#N/A,FALSE,"신청통보";#N/A,#N/A,FALSE,"기성확인서";#N/A,#N/A,FALSE,"기성내역서"}</definedName>
    <definedName name="도급표" hidden="1">{#N/A,#N/A,FALSE,"신청통보";#N/A,#N/A,FALSE,"기성확인서";#N/A,#N/A,FALSE,"기성내역서"}</definedName>
    <definedName name="도급확인서" localSheetId="11" hidden="1">{#N/A,#N/A,FALSE,"신청통보";#N/A,#N/A,FALSE,"기성확인서";#N/A,#N/A,FALSE,"기성내역서"}</definedName>
    <definedName name="도급확인서" hidden="1">{#N/A,#N/A,FALSE,"신청통보";#N/A,#N/A,FALSE,"기성확인서";#N/A,#N/A,FALSE,"기성내역서"}</definedName>
    <definedName name="도시개발" localSheetId="2"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도시개발"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독수리" localSheetId="9" hidden="1">#REF!</definedName>
    <definedName name="독수리" hidden="1">#REF!</definedName>
    <definedName name="돌" localSheetId="11" hidden="1">{#N/A,#N/A,FALSE,"전력간선"}</definedName>
    <definedName name="돌" hidden="1">{#N/A,#N/A,FALSE,"전력간선"}</definedName>
    <definedName name="동광건설" localSheetId="2" hidden="1">{#N/A,#N/A,FALSE,"골재소요량";#N/A,#N/A,FALSE,"골재소요량"}</definedName>
    <definedName name="동광건설" hidden="1">{#N/A,#N/A,FALSE,"골재소요량";#N/A,#N/A,FALSE,"골재소요량"}</definedName>
    <definedName name="동구초등" localSheetId="11" hidden="1">{#N/A,#N/A,FALSE,"전력간선"}</definedName>
    <definedName name="동구초등" hidden="1">{#N/A,#N/A,FALSE,"전력간선"}</definedName>
    <definedName name="동시" localSheetId="11" hidden="1">{#N/A,#N/A,FALSE,"전력간선"}</definedName>
    <definedName name="동시" hidden="1">{#N/A,#N/A,FALSE,"전력간선"}</definedName>
    <definedName name="됴ㅠ굑ㅇ" localSheetId="2" hidden="1">{#N/A,#N/A,FALSE,"운반시간"}</definedName>
    <definedName name="됴ㅠ굑ㅇ" hidden="1">{#N/A,#N/A,FALSE,"운반시간"}</definedName>
    <definedName name="ㄹ" hidden="1">{#N/A,#N/A,TRUE,"토적및재료집계";#N/A,#N/A,TRUE,"토적및재료집계";#N/A,#N/A,TRUE,"단위량"}</definedName>
    <definedName name="ㄹㄴㅇㄻㄴ" localSheetId="11" hidden="1">{#N/A,#N/A,FALSE,"단가표지"}</definedName>
    <definedName name="ㄹㄴㅇㄻㄴ" hidden="1">{#N/A,#N/A,FALSE,"단가표지"}</definedName>
    <definedName name="ㄹㄴ웋" localSheetId="11" hidden="1">{#N/A,#N/A,FALSE,"운반시간"}</definedName>
    <definedName name="ㄹㄴ웋" hidden="1">{#N/A,#N/A,FALSE,"운반시간"}</definedName>
    <definedName name="ㄹㄹ" hidden="1">{#N/A,#N/A,FALSE,"전력간선"}</definedName>
    <definedName name="ㄹㄹㄹ" hidden="1">#REF!</definedName>
    <definedName name="ㄹㄹㄹㅈㄹ" localSheetId="2" hidden="1">{#N/A,#N/A,FALSE,"혼합골재"}</definedName>
    <definedName name="ㄹㄹㄹㅈㄹ" hidden="1">{#N/A,#N/A,FALSE,"혼합골재"}</definedName>
    <definedName name="ㄹㄹ로" localSheetId="2" hidden="1">{#N/A,#N/A,FALSE,"골재소요량";#N/A,#N/A,FALSE,"골재소요량"}</definedName>
    <definedName name="ㄹㄹ로" hidden="1">{#N/A,#N/A,FALSE,"골재소요량";#N/A,#N/A,FALSE,"골재소요량"}</definedName>
    <definedName name="ㄹ로ㅓㅗㅓㅗ" localSheetId="2"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ㄹ로ㅓㅗㅓㅗ"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ㄹㅇ" localSheetId="2"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ㄹㅇ"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ㄹㅇㄹ" localSheetId="11" hidden="1">{#N/A,#N/A,FALSE,"혼합골재"}</definedName>
    <definedName name="ㄹㅇㄹ" hidden="1">{#N/A,#N/A,FALSE,"혼합골재"}</definedName>
    <definedName name="ㄹㅇㄹㄷㅈㅍ" localSheetId="2" hidden="1">{#N/A,#N/A,FALSE,"혼합골재"}</definedName>
    <definedName name="ㄹㅇㄹㄷㅈㅍ" hidden="1">{#N/A,#N/A,FALSE,"혼합골재"}</definedName>
    <definedName name="ㄹㅇㅁㄴ" localSheetId="9" hidden="1">#REF!</definedName>
    <definedName name="ㄹㅇㅁㄴ" hidden="1">#REF!</definedName>
    <definedName name="ㄹㅇㅎㄴㅇ" localSheetId="11" hidden="1">{#N/A,#N/A,FALSE,"조골재"}</definedName>
    <definedName name="ㄹㅇㅎㄴㅇ" hidden="1">{#N/A,#N/A,FALSE,"조골재"}</definedName>
    <definedName name="ㄹ호" localSheetId="9" hidden="1">#REF!</definedName>
    <definedName name="ㄹ호" hidden="1">#REF!</definedName>
    <definedName name="로ㅓ허ㅗ하" localSheetId="11" hidden="1">{"'자리배치도'!$AG$1:$CI$28"}</definedName>
    <definedName name="로ㅓ허ㅗ하" hidden="1">{"'자리배치도'!$AG$1:$CI$28"}</definedName>
    <definedName name="롱" localSheetId="11" hidden="1">{#N/A,#N/A,FALSE,"배수2"}</definedName>
    <definedName name="롱" hidden="1">{#N/A,#N/A,FALSE,"배수2"}</definedName>
    <definedName name="료ㅜㅇ교" localSheetId="2" hidden="1">{#N/A,#N/A,FALSE,"표지목차"}</definedName>
    <definedName name="료ㅜㅇ교" hidden="1">{#N/A,#N/A,FALSE,"표지목차"}</definedName>
    <definedName name="룻우ㅕㄴ" localSheetId="2" hidden="1">{#N/A,#N/A,FALSE,"골재소요량";#N/A,#N/A,FALSE,"골재소요량"}</definedName>
    <definedName name="룻우ㅕㄴ" hidden="1">{#N/A,#N/A,FALSE,"골재소요량";#N/A,#N/A,FALSE,"골재소요량"}</definedName>
    <definedName name="류" localSheetId="11" hidden="1">{#N/A,#N/A,FALSE,"부대2"}</definedName>
    <definedName name="류" hidden="1">{#N/A,#N/A,FALSE,"부대2"}</definedName>
    <definedName name="률류" localSheetId="2" hidden="1">{#N/A,#N/A,FALSE,"혼합골재"}</definedName>
    <definedName name="률류" hidden="1">{#N/A,#N/A,FALSE,"혼합골재"}</definedName>
    <definedName name="ㄻㄴㄹㅇㄴㅁ" localSheetId="11" hidden="1">{#N/A,#N/A,FALSE,"운반시간"}</definedName>
    <definedName name="ㄻㄴㄹㅇㄴㅁ" hidden="1">{#N/A,#N/A,FALSE,"운반시간"}</definedName>
    <definedName name="ㄻㄴㄻㄴㅇㄻㄴ" localSheetId="11" hidden="1">{#N/A,#N/A,FALSE,"표지목차"}</definedName>
    <definedName name="ㄻㄴㄻㄴㅇㄻㄴ" hidden="1">{#N/A,#N/A,FALSE,"표지목차"}</definedName>
    <definedName name="ㄻㄴㅇㄻㄴ" localSheetId="11" hidden="1">{#N/A,#N/A,FALSE,"단가표지"}</definedName>
    <definedName name="ㄻㄴㅇㄻㄴ" hidden="1">{#N/A,#N/A,FALSE,"단가표지"}</definedName>
    <definedName name="ㄻㄴㅇㄻㄴㄹ" localSheetId="11" hidden="1">{#N/A,#N/A,FALSE,"2~8번"}</definedName>
    <definedName name="ㄻㄴㅇㄻㄴㄹ" hidden="1">{#N/A,#N/A,FALSE,"2~8번"}</definedName>
    <definedName name="ㄻㄴㅇㄻㄴㄻㄴㅁㄴ" localSheetId="11" hidden="1">{#N/A,#N/A,FALSE,"단가표지"}</definedName>
    <definedName name="ㄻㄴㅇㄻㄴㄻㄴㅁㄴ" hidden="1">{#N/A,#N/A,FALSE,"단가표지"}</definedName>
    <definedName name="ㄻㄴㅇㄻㄴㅁ" localSheetId="11" hidden="1">{#N/A,#N/A,FALSE,"운반시간"}</definedName>
    <definedName name="ㄻㄴㅇㄻㄴㅁ" hidden="1">{#N/A,#N/A,FALSE,"운반시간"}</definedName>
    <definedName name="ㄻㄴㅇㄻㄴㅇ" localSheetId="11" hidden="1">{#N/A,#N/A,FALSE,"단가표지"}</definedName>
    <definedName name="ㄻㄴㅇㄻㄴㅇ" hidden="1">{#N/A,#N/A,FALSE,"단가표지"}</definedName>
    <definedName name="ㄻㄴㅇㄻㄴㅇㄻ" localSheetId="11" hidden="1">{#N/A,#N/A,FALSE,"표지목차"}</definedName>
    <definedName name="ㄻㄴㅇㄻㄴㅇㄻ" hidden="1">{#N/A,#N/A,FALSE,"표지목차"}</definedName>
    <definedName name="ㄻㄴㅇㅁㄴㅇ" localSheetId="11" hidden="1">{#N/A,#N/A,FALSE,"단가표지"}</definedName>
    <definedName name="ㄻㄴㅇㅁㄴㅇ" hidden="1">{#N/A,#N/A,FALSE,"단가표지"}</definedName>
    <definedName name="ㄻㅁ" localSheetId="11" hidden="1">{#N/A,#N/A,FALSE,"조골재"}</definedName>
    <definedName name="ㄻㅁ" hidden="1">{#N/A,#N/A,FALSE,"조골재"}</definedName>
    <definedName name="ㅀ" localSheetId="11" hidden="1">{#N/A,#N/A,TRUE,"토적및재료집계";#N/A,#N/A,TRUE,"토적및재료집계";#N/A,#N/A,TRUE,"단위량"}</definedName>
    <definedName name="ㅀ" hidden="1">{#N/A,#N/A,TRUE,"토적및재료집계";#N/A,#N/A,TRUE,"토적및재료집계";#N/A,#N/A,TRUE,"단위량"}</definedName>
    <definedName name="ㅀㅁ" localSheetId="2" hidden="1">{#N/A,#N/A,FALSE,"조골재"}</definedName>
    <definedName name="ㅀㅁ" hidden="1">{#N/A,#N/A,FALSE,"조골재"}</definedName>
    <definedName name="ㅀㅇㅁ" localSheetId="11" hidden="1">{#N/A,#N/A,FALSE,"골재소요량";#N/A,#N/A,FALSE,"골재소요량"}</definedName>
    <definedName name="ㅀㅇㅁ" hidden="1">{#N/A,#N/A,FALSE,"골재소요량";#N/A,#N/A,FALSE,"골재소요량"}</definedName>
    <definedName name="ㅁ" localSheetId="11" hidden="1">{#N/A,#N/A,FALSE,"증감대비표";#N/A,#N/A,FALSE,"결의서";#N/A,#N/A,FALSE,"내역서";#N/A,#N/A,FALSE,"도급예상"}</definedName>
    <definedName name="ㅁ" localSheetId="2" hidden="1">{#N/A,#N/A,FALSE,"단가표지"}</definedName>
    <definedName name="ㅁ" hidden="1">{#N/A,#N/A,FALSE,"단가표지"}</definedName>
    <definedName name="ㅁㄴ" hidden="1">#REF!</definedName>
    <definedName name="ㅁㄴㄴ" localSheetId="2" hidden="1">{#N/A,#N/A,FALSE,"골재소요량";#N/A,#N/A,FALSE,"골재소요량"}</definedName>
    <definedName name="ㅁㄴㄴ" hidden="1">{#N/A,#N/A,FALSE,"골재소요량";#N/A,#N/A,FALSE,"골재소요량"}</definedName>
    <definedName name="ㅁㄴㄹㄴ" localSheetId="11" hidden="1">{#N/A,#N/A,FALSE,"운반시간"}</definedName>
    <definedName name="ㅁㄴㄹㄴ" hidden="1">{#N/A,#N/A,FALSE,"운반시간"}</definedName>
    <definedName name="ㅁㄴㄹㅇㅁ" localSheetId="11" hidden="1">{#N/A,#N/A,FALSE,"단가표지"}</definedName>
    <definedName name="ㅁㄴㄹㅇㅁ" hidden="1">{#N/A,#N/A,FALSE,"단가표지"}</definedName>
    <definedName name="ㅁㄴㅇ" localSheetId="2" hidden="1">{#N/A,#N/A,FALSE,"혼합골재"}</definedName>
    <definedName name="ㅁㄴㅇ" hidden="1">{#N/A,#N/A,FALSE,"혼합골재"}</definedName>
    <definedName name="ㅁㄴㅇ류" localSheetId="9" hidden="1">#REF!</definedName>
    <definedName name="ㅁㄴㅇ류" hidden="1">#REF!</definedName>
    <definedName name="ㅁㄴㅇㄻㄴㅇㄹㄴㅁㅎㄴㅇㅎ" localSheetId="11" hidden="1">{"'용역비'!$A$4:$C$8"}</definedName>
    <definedName name="ㅁㄴㅇㄻㄴㅇㄹㄴㅁㅎㄴㅇㅎ" hidden="1">{"'용역비'!$A$4:$C$8"}</definedName>
    <definedName name="ㅁㄴㅇㅁ" localSheetId="11" hidden="1">{"'용역비'!$A$4:$C$8"}</definedName>
    <definedName name="ㅁㄴㅇㅁ" hidden="1">{"'용역비'!$A$4:$C$8"}</definedName>
    <definedName name="ㅁㄴㅇㅁㄴㅇ" localSheetId="9" hidden="1">#REF!</definedName>
    <definedName name="ㅁㄴㅇㅁㄴㅇ" hidden="1">#REF!</definedName>
    <definedName name="ㅁㄷㄱㅍㄱㅈㅁ" localSheetId="2" hidden="1">{#N/A,#N/A,FALSE,"골재소요량";#N/A,#N/A,FALSE,"골재소요량"}</definedName>
    <definedName name="ㅁㄷㄱㅍㄱㅈㅁ" hidden="1">{#N/A,#N/A,FALSE,"골재소요량";#N/A,#N/A,FALSE,"골재소요량"}</definedName>
    <definedName name="ㅁㄷㅎㅁㅎㅁ" localSheetId="2" hidden="1">{#N/A,#N/A,FALSE,"조골재"}</definedName>
    <definedName name="ㅁㄷㅎㅁㅎㅁ" hidden="1">{#N/A,#N/A,FALSE,"조골재"}</definedName>
    <definedName name="ㅁㄹㄴㅇ" localSheetId="11" hidden="1">{#N/A,#N/A,FALSE,"단가표지"}</definedName>
    <definedName name="ㅁㄹㄴㅇ" hidden="1">{#N/A,#N/A,FALSE,"단가표지"}</definedName>
    <definedName name="ㅁㄹㄴㅇㄻㄴㄹ" localSheetId="11" hidden="1">{#N/A,#N/A,FALSE,"골재소요량";#N/A,#N/A,FALSE,"골재소요량"}</definedName>
    <definedName name="ㅁㄹㄴㅇㄻㄴㄹ" hidden="1">{#N/A,#N/A,FALSE,"골재소요량";#N/A,#N/A,FALSE,"골재소요량"}</definedName>
    <definedName name="ㅁㄹㄴㅇㅁ" localSheetId="11" hidden="1">{#N/A,#N/A,FALSE,"표지목차"}</definedName>
    <definedName name="ㅁㄹㄴㅇㅁ" hidden="1">{#N/A,#N/A,FALSE,"표지목차"}</definedName>
    <definedName name="ㅁㄹㅇㄴ" hidden="1">{#N/A,#N/A,FALSE,"단가표지"}</definedName>
    <definedName name="ㅁㄹㅇㅁㄴ" localSheetId="11" hidden="1">{#N/A,#N/A,FALSE,"골재소요량";#N/A,#N/A,FALSE,"골재소요량"}</definedName>
    <definedName name="ㅁㄹㅇㅁㄴ" hidden="1">{#N/A,#N/A,FALSE,"골재소요량";#N/A,#N/A,FALSE,"골재소요량"}</definedName>
    <definedName name="ㅁㄻㄴㄹ" hidden="1">{#N/A,#N/A,FALSE,"골재소요량";#N/A,#N/A,FALSE,"골재소요량"}</definedName>
    <definedName name="ㅁㅁ" hidden="1">{#N/A,#N/A,FALSE,"전력간선"}</definedName>
    <definedName name="ㅁㅁㅁ" localSheetId="2" hidden="1">{#N/A,#N/A,FALSE,"조골재"}</definedName>
    <definedName name="ㅁㅁㅁ" hidden="1">{#N/A,#N/A,FALSE,"조골재"}</definedName>
    <definedName name="ㅁㅁㅁㅁ" localSheetId="11" hidden="1">{#N/A,#N/A,FALSE,"혼합골재"}</definedName>
    <definedName name="ㅁㅁㅁㅁ" localSheetId="2" hidden="1">{#N/A,#N/A,FALSE,"표지목차"}</definedName>
    <definedName name="ㅁㅁㅁㅁ" hidden="1">{#N/A,#N/A,FALSE,"표지목차"}</definedName>
    <definedName name="ㅁㅁㅁㅁㅁ" hidden="1">{"'용역비'!$A$4:$C$8"}</definedName>
    <definedName name="ㅁㅁㅁㅁㅁㅁ" localSheetId="11" hidden="1">{#N/A,#N/A,FALSE,"전력간선"}</definedName>
    <definedName name="ㅁㅁㅁㅁㅁㅁ" localSheetId="2" hidden="1">{#N/A,#N/A,FALSE,"혼합골재"}</definedName>
    <definedName name="ㅁㅁㅁㅁㅁㅁ" hidden="1">{#N/A,#N/A,FALSE,"혼합골재"}</definedName>
    <definedName name="ㅁㅁㅁㅁㅁㅁㅁㅁㅁㅁㅁㅁㅁㅁ" localSheetId="11" hidden="1">{"'용역비'!$A$4:$C$8"}</definedName>
    <definedName name="ㅁㅁㅁㅁㅁㅁㅁㅁㅁㅁㅁㅁㅁㅁ" hidden="1">{"'용역비'!$A$4:$C$8"}</definedName>
    <definedName name="ㅁㅁㅁㅁㅁㅁㅁㅁㅁㅁㅁㅁㅁㅁㅁ" localSheetId="11" hidden="1">{#N/A,#N/A,FALSE,"전력간선"}</definedName>
    <definedName name="ㅁㅁㅁㅁㅁㅁㅁㅁㅁㅁㅁㅁㅁㅁㅁ" hidden="1">{#N/A,#N/A,FALSE,"전력간선"}</definedName>
    <definedName name="ㅁㅁㅇㅇㅇㅇ" localSheetId="11" hidden="1">{#N/A,#N/A,FALSE,"전력간선"}</definedName>
    <definedName name="ㅁㅁㅇㅇㅇㅇ" hidden="1">{#N/A,#N/A,FALSE,"전력간선"}</definedName>
    <definedName name="ㅁㅇㄹㄴㅇㅁㄹ" localSheetId="11" hidden="1">{#N/A,#N/A,FALSE,"운반시간"}</definedName>
    <definedName name="ㅁㅇㄹㄴㅇㅁㄹ" hidden="1">{#N/A,#N/A,FALSE,"운반시간"}</definedName>
    <definedName name="ㅁㅇㄻ" localSheetId="11" hidden="1">{#N/A,#N/A,FALSE,"조골재"}</definedName>
    <definedName name="ㅁㅇㄻ" hidden="1">{#N/A,#N/A,FALSE,"조골재"}</definedName>
    <definedName name="ㅁㅇㄻㄴㄹ" localSheetId="11" hidden="1">{#N/A,#N/A,FALSE,"혼합골재"}</definedName>
    <definedName name="ㅁㅇㄻㄴㄹ" hidden="1">{#N/A,#N/A,FALSE,"혼합골재"}</definedName>
    <definedName name="ㅁㅇㄻㅇㅎ" localSheetId="11" hidden="1">{#N/A,#N/A,FALSE,"조골재"}</definedName>
    <definedName name="ㅁㅇㄻㅇㅎ" hidden="1">{#N/A,#N/A,FALSE,"조골재"}</definedName>
    <definedName name="ㅁㅇㅀㅁㅇ" localSheetId="11" hidden="1">{#N/A,#N/A,FALSE,"단가표지"}</definedName>
    <definedName name="ㅁㅇㅀㅁㅇ" hidden="1">{#N/A,#N/A,FALSE,"단가표지"}</definedName>
    <definedName name="ㅁ아ㅣㄹ" localSheetId="11" hidden="1">{#N/A,#N/A,FALSE,"전력간선"}</definedName>
    <definedName name="ㅁ아ㅣㄹ" hidden="1">{#N/A,#N/A,FALSE,"전력간선"}</definedName>
    <definedName name="ㅁㅎㄻㅇㄻ" localSheetId="11" hidden="1">{#N/A,#N/A,FALSE,"운반시간"}</definedName>
    <definedName name="ㅁㅎㄻㅇㄻ" hidden="1">{#N/A,#N/A,FALSE,"운반시간"}</definedName>
    <definedName name="ㅁㅎㅇㅀㅁㅇ" localSheetId="11" hidden="1">{#N/A,#N/A,FALSE,"2~8번"}</definedName>
    <definedName name="ㅁㅎㅇㅀㅁㅇ" hidden="1">{#N/A,#N/A,FALSE,"2~8번"}</definedName>
    <definedName name="ㅁㅎㅇㅀㅁㅎ" localSheetId="11" hidden="1">{#N/A,#N/A,FALSE,"단가표지"}</definedName>
    <definedName name="ㅁㅎㅇㅀㅁㅎ" hidden="1">{#N/A,#N/A,FALSE,"단가표지"}</definedName>
    <definedName name="마감도급" localSheetId="11" hidden="1">{#N/A,#N/A,FALSE,"결의서";#N/A,#N/A,FALSE,"내역서";#N/A,#N/A,FALSE,"도급예상";#N/A,#N/A,FALSE,"시방서"}</definedName>
    <definedName name="마감도급" hidden="1">{#N/A,#N/A,FALSE,"결의서";#N/A,#N/A,FALSE,"내역서";#N/A,#N/A,FALSE,"도급예상";#N/A,#N/A,FALSE,"시방서"}</definedName>
    <definedName name="매출"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모나리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모나리자" hidden="1">{#N/A,#N/A,FALSE,"손익표지";#N/A,#N/A,FALSE,"손익계산";#N/A,#N/A,FALSE,"일반관리비";#N/A,#N/A,FALSE,"영업외수익";#N/A,#N/A,FALSE,"영업외비용";#N/A,#N/A,FALSE,"매출액";#N/A,#N/A,FALSE,"요약손익";#N/A,#N/A,FALSE,"요약대차";#N/A,#N/A,FALSE,"매출채권현황";#N/A,#N/A,FALSE,"매출채권명세"}</definedName>
    <definedName name="모두발언"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모두발언" hidden="1">{#N/A,#N/A,FALSE,"손익표지";#N/A,#N/A,FALSE,"손익계산";#N/A,#N/A,FALSE,"일반관리비";#N/A,#N/A,FALSE,"영업외수익";#N/A,#N/A,FALSE,"영업외비용";#N/A,#N/A,FALSE,"매출액";#N/A,#N/A,FALSE,"요약손익";#N/A,#N/A,FALSE,"요약대차";#N/A,#N/A,FALSE,"매출채권현황";#N/A,#N/A,FALSE,"매출채권명세"}</definedName>
    <definedName name="목"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 hidden="1">{#N/A,#N/A,FALSE,"손익표지";#N/A,#N/A,FALSE,"손익계산";#N/A,#N/A,FALSE,"일반관리비";#N/A,#N/A,FALSE,"영업외수익";#N/A,#N/A,FALSE,"영업외비용";#N/A,#N/A,FALSE,"매출액";#N/A,#N/A,FALSE,"요약손익";#N/A,#N/A,FALSE,"요약대차";#N/A,#N/A,FALSE,"매출채권현황";#N/A,#N/A,FALSE,"매출채권명세"}</definedName>
    <definedName name="목포다"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포다" hidden="1">{#N/A,#N/A,FALSE,"손익표지";#N/A,#N/A,FALSE,"손익계산";#N/A,#N/A,FALSE,"일반관리비";#N/A,#N/A,FALSE,"영업외수익";#N/A,#N/A,FALSE,"영업외비용";#N/A,#N/A,FALSE,"매출액";#N/A,#N/A,FALSE,"요약손익";#N/A,#N/A,FALSE,"요약대차";#N/A,#N/A,FALSE,"매출채권현황";#N/A,#N/A,FALSE,"매출채권명세"}</definedName>
    <definedName name="목포발"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포발"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ㅂ" localSheetId="11" hidden="1">{#N/A,#N/A,FALSE,"표지목차"}</definedName>
    <definedName name="ㅂ" localSheetId="2" hidden="1">{#N/A,#N/A,FALSE,"혼합골재"}</definedName>
    <definedName name="ㅂ" hidden="1">{#N/A,#N/A,FALSE,"혼합골재"}</definedName>
    <definedName name="ㅂㄷㅇ" localSheetId="2" hidden="1">{#N/A,#N/A,FALSE,"표지목차"}</definedName>
    <definedName name="ㅂㄷㅇ" hidden="1">{#N/A,#N/A,FALSE,"표지목차"}</definedName>
    <definedName name="ㅂㅁㅋ" localSheetId="11" hidden="1">{"'용역비'!$A$4:$C$8"}</definedName>
    <definedName name="ㅂㅁㅋ" hidden="1">{"'용역비'!$A$4:$C$8"}</definedName>
    <definedName name="ㅂㅂ" localSheetId="11" hidden="1">{#N/A,#N/A,FALSE,"전력간선"}</definedName>
    <definedName name="ㅂㅂ" localSheetId="2" hidden="1">{#N/A,#N/A,FALSE,"표지목차"}</definedName>
    <definedName name="ㅂㅂ" hidden="1">{#N/A,#N/A,FALSE,"표지목차"}</definedName>
    <definedName name="ㅂㅂㅂ" localSheetId="11" hidden="1">{#N/A,#N/A,FALSE,"토공2"}</definedName>
    <definedName name="ㅂㅂㅂ" hidden="1">{"'용역비'!$A$4:$C$8"}</definedName>
    <definedName name="ㅂㅂㅂㅂ" localSheetId="11" hidden="1">{#N/A,#N/A,FALSE,"조골재"}</definedName>
    <definedName name="ㅂㅂㅂㅂ" localSheetId="2" hidden="1">{#N/A,#N/A,FALSE,"운반시간"}</definedName>
    <definedName name="ㅂㅂㅂㅂ" hidden="1">{#N/A,#N/A,FALSE,"운반시간"}</definedName>
    <definedName name="ㅂㅂㅂㅂㅂ" localSheetId="2" hidden="1">{#N/A,#N/A,FALSE,"혼합골재"}</definedName>
    <definedName name="ㅂㅂㅂㅂㅂ" hidden="1">{#N/A,#N/A,FALSE,"혼합골재"}</definedName>
    <definedName name="ㅂㅂㅂㅂㅂㅂ" localSheetId="11" hidden="1">{#N/A,#N/A,FALSE,"전력간선"}</definedName>
    <definedName name="ㅂㅂㅂㅂㅂㅂ" hidden="1">{#N/A,#N/A,FALSE,"전력간선"}</definedName>
    <definedName name="ㅂㅂㅂㅂㅂㅂㅂㅂㅂ" localSheetId="2" hidden="1">{#N/A,#N/A,FALSE,"표지목차"}</definedName>
    <definedName name="ㅂㅂㅂㅂㅂㅂㅂㅂㅂ" hidden="1">{#N/A,#N/A,FALSE,"표지목차"}</definedName>
    <definedName name="ㅂㅂㅂㅂㅂㅂㅂㅂㅂㅂ" localSheetId="11" hidden="1">{#N/A,#N/A,FALSE,"전력간선"}</definedName>
    <definedName name="ㅂㅂㅂㅂㅂㅂㅂㅂㅂㅂ" hidden="1">{#N/A,#N/A,FALSE,"전력간선"}</definedName>
    <definedName name="ㅂㅂㅂㅂㅂㅂㅂㅂㅂㅂㅂㅂㅂ" localSheetId="11" hidden="1">{#N/A,#N/A,FALSE,"골재소요량";#N/A,#N/A,FALSE,"골재소요량"}</definedName>
    <definedName name="ㅂㅂㅂㅂㅂㅂㅂㅂㅂㅂㅂㅂㅂ" hidden="1">{#N/A,#N/A,FALSE,"골재소요량";#N/A,#N/A,FALSE,"골재소요량"}</definedName>
    <definedName name="ㅂㅂㅂㅂㅂㅂㅂㅂㅂㅂㅂㅂㅂㅂㅂㅂㅂ" localSheetId="11" hidden="1">{#N/A,#N/A,FALSE,"전력간선"}</definedName>
    <definedName name="ㅂㅂㅂㅂㅂㅂㅂㅂㅂㅂㅂㅂㅂㅂㅂㅂㅂ" hidden="1">{#N/A,#N/A,FALSE,"전력간선"}</definedName>
    <definedName name="ㅂㅂㅂㅂㅂㅂㅂㅂㅂㅂㅂㅂㅂㅂㅂㅂㅂㅂ"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 hidden="1">{#N/A,#N/A,FALSE,"손익표지";#N/A,#N/A,FALSE,"손익계산";#N/A,#N/A,FALSE,"일반관리비";#N/A,#N/A,FALSE,"영업외수익";#N/A,#N/A,FALSE,"영업외비용";#N/A,#N/A,FALSE,"매출액";#N/A,#N/A,FALSE,"요약손익";#N/A,#N/A,FALSE,"요약대차";#N/A,#N/A,FALSE,"매출채권현황";#N/A,#N/A,FALSE,"매출채권명세"}</definedName>
    <definedName name="ㅂㅅ" localSheetId="11" hidden="1">{"'을'!$A$1:$Z$93"}</definedName>
    <definedName name="ㅂㅅ" hidden="1">{"'을'!$A$1:$Z$93"}</definedName>
    <definedName name="ㅂㅈ" localSheetId="11" hidden="1">{#N/A,#N/A,TRUE,"1";#N/A,#N/A,TRUE,"2";#N/A,#N/A,TRUE,"3";#N/A,#N/A,TRUE,"4";#N/A,#N/A,TRUE,"5";#N/A,#N/A,TRUE,"6";#N/A,#N/A,TRUE,"7"}</definedName>
    <definedName name="ㅂㅈ" localSheetId="2" hidden="1">{#N/A,#N/A,FALSE,"표지목차"}</definedName>
    <definedName name="ㅂㅈ" hidden="1">{#N/A,#N/A,FALSE,"표지목차"}</definedName>
    <definedName name="ㅂㅈㅈ" localSheetId="2" hidden="1">{#N/A,#N/A,FALSE,"운반시간"}</definedName>
    <definedName name="ㅂㅈㅈ" hidden="1">{#N/A,#N/A,FALSE,"운반시간"}</definedName>
    <definedName name="ㅂㅋ" localSheetId="11" hidden="1">{"'용역비'!$A$4:$C$8"}</definedName>
    <definedName name="ㅂㅋ" hidden="1">{"'용역비'!$A$4:$C$8"}</definedName>
    <definedName name="발주계획" localSheetId="11" hidden="1">{"'자리배치도'!$AG$1:$CI$28"}</definedName>
    <definedName name="발주계획" hidden="1">{"'자리배치도'!$AG$1:$CI$28"}</definedName>
    <definedName name="방음벽" localSheetId="9" hidden="1">#REF!</definedName>
    <definedName name="방음벽" hidden="1">#REF!</definedName>
    <definedName name="배수" hidden="1">#REF!</definedName>
    <definedName name="배수토공" localSheetId="11" hidden="1">#REF!</definedName>
    <definedName name="배수토공" hidden="1">#REF!</definedName>
    <definedName name="뱌" hidden="1">#REF!</definedName>
    <definedName name="보고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보고가" hidden="1">{#N/A,#N/A,FALSE,"손익표지";#N/A,#N/A,FALSE,"손익계산";#N/A,#N/A,FALSE,"일반관리비";#N/A,#N/A,FALSE,"영업외수익";#N/A,#N/A,FALSE,"영업외비용";#N/A,#N/A,FALSE,"매출액";#N/A,#N/A,FALSE,"요약손익";#N/A,#N/A,FALSE,"요약대차";#N/A,#N/A,FALSE,"매출채권현황";#N/A,#N/A,FALSE,"매출채권명세"}</definedName>
    <definedName name="부대" hidden="1">{#N/A,#N/A,FALSE,"골재소요량";#N/A,#N/A,FALSE,"골재소요량"}</definedName>
    <definedName name="부대1" localSheetId="11" hidden="1">{#N/A,#N/A,FALSE,"운반시간"}</definedName>
    <definedName name="부대1" hidden="1">{#N/A,#N/A,FALSE,"운반시간"}</definedName>
    <definedName name="부대공사" localSheetId="11" hidden="1">#REF!</definedName>
    <definedName name="부대공사" hidden="1">#REF!</definedName>
    <definedName name="부대원본" localSheetId="11" hidden="1">{#N/A,#N/A,FALSE,"토공2"}</definedName>
    <definedName name="부대원본" hidden="1">{#N/A,#N/A,FALSE,"토공2"}</definedName>
    <definedName name="부손익" localSheetId="11" hidden="1">{#N/A,#N/A,FALSE,"현장 NCR 분석";#N/A,#N/A,FALSE,"현장품질감사";#N/A,#N/A,FALSE,"현장품질감사"}</definedName>
    <definedName name="부손익" localSheetId="2" hidden="1">{#N/A,#N/A,FALSE,"현장 NCR 분석";#N/A,#N/A,FALSE,"현장품질감사";#N/A,#N/A,FALSE,"현장품질감사"}</definedName>
    <definedName name="부손익" hidden="1">{#N/A,#N/A,FALSE,"현장 NCR 분석";#N/A,#N/A,FALSE,"현장품질감사";#N/A,#N/A,FALSE,"현장품질감사"}</definedName>
    <definedName name="분기" localSheetId="9" hidden="1">#REF!</definedName>
    <definedName name="분기" hidden="1">#REF!</definedName>
    <definedName name="분야"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뷰" localSheetId="11" hidden="1">{#N/A,#N/A,FALSE,"단가표지"}</definedName>
    <definedName name="뷰" hidden="1">{#N/A,#N/A,FALSE,"단가표지"}</definedName>
    <definedName name="ㅅ" hidden="1">{#N/A,#N/A,TRUE,"토적및재료집계";#N/A,#N/A,TRUE,"토적및재료집계";#N/A,#N/A,TRUE,"단위량"}</definedName>
    <definedName name="ㅅ.." localSheetId="2" hidden="1">{#N/A,#N/A,FALSE,"골재소요량";#N/A,#N/A,FALSE,"골재소요량"}</definedName>
    <definedName name="ㅅ.." hidden="1">{#N/A,#N/A,FALSE,"골재소요량";#N/A,#N/A,FALSE,"골재소요량"}</definedName>
    <definedName name="ㅅ곳ㄴ고" localSheetId="2" hidden="1">{#N/A,#N/A,FALSE,"2~8번"}</definedName>
    <definedName name="ㅅ곳ㄴ고" hidden="1">{#N/A,#N/A,FALSE,"2~8번"}</definedName>
    <definedName name="ㅅ굲유" localSheetId="11" hidden="1">{#N/A,#N/A,FALSE,"조골재"}</definedName>
    <definedName name="ㅅ굲유" hidden="1">{#N/A,#N/A,FALSE,"조골재"}</definedName>
    <definedName name="ㅅㄳ" localSheetId="2" hidden="1">{#N/A,#N/A,FALSE,"골재소요량";#N/A,#N/A,FALSE,"골재소요량"}</definedName>
    <definedName name="ㅅㄳ" hidden="1">{#N/A,#N/A,FALSE,"골재소요량";#N/A,#N/A,FALSE,"골재소요량"}</definedName>
    <definedName name="ㅅㅅ" localSheetId="2" hidden="1">{#N/A,#N/A,FALSE,"골재소요량";#N/A,#N/A,FALSE,"골재소요량"}</definedName>
    <definedName name="ㅅㅅ" hidden="1">{#N/A,#N/A,FALSE,"골재소요량";#N/A,#N/A,FALSE,"골재소요량"}</definedName>
    <definedName name="ㅅㅅㅅ" localSheetId="2" hidden="1">{#N/A,#N/A,FALSE,"2~8번"}</definedName>
    <definedName name="ㅅㅅㅅ" hidden="1">{#N/A,#N/A,FALSE,"2~8번"}</definedName>
    <definedName name="ㅅㅅㅅㅅ" localSheetId="11" hidden="1">{#N/A,#N/A,FALSE,"골재소요량";#N/A,#N/A,FALSE,"골재소요량"}</definedName>
    <definedName name="ㅅㅅㅅㅅ" localSheetId="2" hidden="1">{#N/A,#N/A,FALSE,"2~8번"}</definedName>
    <definedName name="ㅅㅅㅅㅅ" hidden="1">{#N/A,#N/A,FALSE,"2~8번"}</definedName>
    <definedName name="ㅅㅅㅅㅅㅅ" localSheetId="2" hidden="1">{#N/A,#N/A,FALSE,"골재소요량";#N/A,#N/A,FALSE,"골재소요량"}</definedName>
    <definedName name="ㅅㅅㅅㅅㅅ" hidden="1">{#N/A,#N/A,FALSE,"골재소요량";#N/A,#N/A,FALSE,"골재소요량"}</definedName>
    <definedName name="ㅅㅅㅅㅅㅅㅅㅅ" localSheetId="2" hidden="1">{#N/A,#N/A,FALSE,"골재소요량";#N/A,#N/A,FALSE,"골재소요량"}</definedName>
    <definedName name="ㅅㅅㅅㅅㅅㅅㅅ" hidden="1">{#N/A,#N/A,FALSE,"골재소요량";#N/A,#N/A,FALSE,"골재소요량"}</definedName>
    <definedName name="ㅅㅅㅅㅅㅅㅅㅅㅅㅅㅅㅅ" localSheetId="2" hidden="1">{#N/A,#N/A,FALSE,"골재소요량";#N/A,#N/A,FALSE,"골재소요량"}</definedName>
    <definedName name="ㅅㅅㅅㅅㅅㅅㅅㅅㅅㅅㅅ" hidden="1">{#N/A,#N/A,FALSE,"골재소요량";#N/A,#N/A,FALSE,"골재소요량"}</definedName>
    <definedName name="ㅅ여ㅛ윣ㄴ" localSheetId="2" hidden="1">{#N/A,#N/A,FALSE,"조골재"}</definedName>
    <definedName name="ㅅ여ㅛ윣ㄴ" hidden="1">{#N/A,#N/A,FALSE,"조골재"}</definedName>
    <definedName name="ㅅ융ㄴㄳ" localSheetId="2" hidden="1">{#N/A,#N/A,FALSE,"조골재"}</definedName>
    <definedName name="ㅅ융ㄴㄳ" hidden="1">{#N/A,#N/A,FALSE,"조골재"}</definedName>
    <definedName name="ㅅㅎ공ㅋ" localSheetId="2" hidden="1">{#N/A,#N/A,FALSE,"단가표지"}</definedName>
    <definedName name="ㅅㅎ공ㅋ" hidden="1">{#N/A,#N/A,FALSE,"단가표지"}</definedName>
    <definedName name="사" localSheetId="9" hidden="1">#REF!</definedName>
    <definedName name="사" hidden="1">#REF!</definedName>
    <definedName name="사업"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진첩" hidden="1">{"'Sheet1'!$A$1:$H$49"}</definedName>
    <definedName name="산" localSheetId="11" hidden="1">{"'제10장(표)'!$A$5:$L$10"}</definedName>
    <definedName name="산" localSheetId="2" hidden="1">{"'제10장(표)'!$A$5:$L$10"}</definedName>
    <definedName name="산" hidden="1">{"'제10장(표)'!$A$5:$L$10"}</definedName>
    <definedName name="산근표지" localSheetId="2" hidden="1">{"'제10장(표)'!$A$5:$L$10"}</definedName>
    <definedName name="산근표지" hidden="1">{"'제10장(표)'!$A$5:$L$10"}</definedName>
    <definedName name="산돌이" localSheetId="2" hidden="1">{#N/A,#N/A,FALSE,"단가표지"}</definedName>
    <definedName name="산돌이" hidden="1">{#N/A,#N/A,FALSE,"단가표지"}</definedName>
    <definedName name="산출근" localSheetId="11" hidden="1">{"'제10장(표)'!$A$5:$L$10"}</definedName>
    <definedName name="산출근" localSheetId="2" hidden="1">{"'제10장(표)'!$A$5:$L$10"}</definedName>
    <definedName name="산출근" hidden="1">{"'제10장(표)'!$A$5:$L$10"}</definedName>
    <definedName name="산출근거1111" localSheetId="11" hidden="1">{"'제10장(표)'!$A$5:$L$10"}</definedName>
    <definedName name="산출근거1111" hidden="1">{"'제10장(표)'!$A$5:$L$10"}</definedName>
    <definedName name="산출근거44" localSheetId="11" hidden="1">{"'제10장(표)'!$A$5:$L$10"}</definedName>
    <definedName name="산출근거44" localSheetId="2" hidden="1">{"'제10장(표)'!$A$5:$L$10"}</definedName>
    <definedName name="산출근거44" hidden="1">{"'제10장(표)'!$A$5:$L$10"}</definedName>
    <definedName name="산출근거7" localSheetId="11" hidden="1">{"'제10장(표)'!$A$5:$L$10"}</definedName>
    <definedName name="산출근거7" hidden="1">{"'제10장(표)'!$A$5:$L$10"}</definedName>
    <definedName name="상" localSheetId="2" hidden="1">{"'제10장(표)'!$A$5:$L$10"}</definedName>
    <definedName name="상" hidden="1">{"'제10장(표)'!$A$5:$L$10"}</definedName>
    <definedName name="새것"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새것" hidden="1">{#N/A,#N/A,FALSE,"손익표지";#N/A,#N/A,FALSE,"손익계산";#N/A,#N/A,FALSE,"일반관리비";#N/A,#N/A,FALSE,"영업외수익";#N/A,#N/A,FALSE,"영업외비용";#N/A,#N/A,FALSE,"매출액";#N/A,#N/A,FALSE,"요약손익";#N/A,#N/A,FALSE,"요약대차";#N/A,#N/A,FALSE,"매출채권현황";#N/A,#N/A,FALSE,"매출채권명세"}</definedName>
    <definedName name="서" hidden="1">{"'제10장(표)'!$A$5:$L$10"}</definedName>
    <definedName name="설계" hidden="1">{#N/A,#N/A,FALSE,"전력간선"}</definedName>
    <definedName name="설계설명서2" localSheetId="11" hidden="1">{#N/A,#N/A,FALSE,"전력간선"}</definedName>
    <definedName name="설계설명서2" hidden="1">{#N/A,#N/A,FALSE,"전력간선"}</definedName>
    <definedName name="설계설명서3" localSheetId="11" hidden="1">{#N/A,#N/A,FALSE,"전력간선"}</definedName>
    <definedName name="설계설명서3" hidden="1">{#N/A,#N/A,FALSE,"전력간선"}</definedName>
    <definedName name="설계설명서4" localSheetId="11" hidden="1">{#N/A,#N/A,FALSE,"전력간선"}</definedName>
    <definedName name="설계설명서4" hidden="1">{#N/A,#N/A,FALSE,"전력간선"}</definedName>
    <definedName name="성"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소" localSheetId="11" hidden="1">{#N/A,#N/A,FALSE,"전력간선"}</definedName>
    <definedName name="소" hidden="1">{#N/A,#N/A,FALSE,"전력간선"}</definedName>
    <definedName name="소운반" localSheetId="2" hidden="1">{#N/A,#N/A,FALSE,"부대2"}</definedName>
    <definedName name="소운반" hidden="1">{#N/A,#N/A,FALSE,"부대2"}</definedName>
    <definedName name="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추정목표" localSheetId="11" hidden="1">{#N/A,#N/A,FALSE,"전력간선"}</definedName>
    <definedName name="손익추정목표" hidden="1">{#N/A,#N/A,FALSE,"전력간선"}</definedName>
    <definedName name="수" localSheetId="11" hidden="1">#REF!</definedName>
    <definedName name="수" localSheetId="9" hidden="1">#REF!</definedName>
    <definedName name="수" hidden="1">#REF!</definedName>
    <definedName name="수량산출서" localSheetId="11" hidden="1">#REF!</definedName>
    <definedName name="수량산출서" hidden="1">#REF!</definedName>
    <definedName name="수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입" hidden="1">{#N/A,#N/A,FALSE,"손익표지";#N/A,#N/A,FALSE,"손익계산";#N/A,#N/A,FALSE,"일반관리비";#N/A,#N/A,FALSE,"영업외수익";#N/A,#N/A,FALSE,"영업외비용";#N/A,#N/A,FALSE,"매출액";#N/A,#N/A,FALSE,"요약손익";#N/A,#N/A,FALSE,"요약대차";#N/A,#N/A,FALSE,"매출채권현황";#N/A,#N/A,FALSE,"매출채권명세"}</definedName>
    <definedName name="수정분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정분임" hidden="1">{#N/A,#N/A,FALSE,"손익표지";#N/A,#N/A,FALSE,"손익계산";#N/A,#N/A,FALSE,"일반관리비";#N/A,#N/A,FALSE,"영업외수익";#N/A,#N/A,FALSE,"영업외비용";#N/A,#N/A,FALSE,"매출액";#N/A,#N/A,FALSE,"요약손익";#N/A,#N/A,FALSE,"요약대차";#N/A,#N/A,FALSE,"매출채권현황";#N/A,#N/A,FALSE,"매출채권명세"}</definedName>
    <definedName name="수준측량연장" localSheetId="11" hidden="1">{"'제10장(표)'!$A$5:$L$10"}</definedName>
    <definedName name="수준측량연장" localSheetId="2" hidden="1">{"'제10장(표)'!$A$5:$L$10"}</definedName>
    <definedName name="수준측량연장" hidden="1">{"'제10장(표)'!$A$5:$L$10"}</definedName>
    <definedName name="순위결정" localSheetId="11" hidden="1">{"'제10장(표)'!$A$5:$L$10"}</definedName>
    <definedName name="순위결정" localSheetId="2" hidden="1">{"'제10장(표)'!$A$5:$L$10"}</definedName>
    <definedName name="순위결정" hidden="1">{"'제10장(표)'!$A$5:$L$10"}</definedName>
    <definedName name="순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순천" hidden="1">{#N/A,#N/A,FALSE,"손익표지";#N/A,#N/A,FALSE,"손익계산";#N/A,#N/A,FALSE,"일반관리비";#N/A,#N/A,FALSE,"영업외수익";#N/A,#N/A,FALSE,"영업외비용";#N/A,#N/A,FALSE,"매출액";#N/A,#N/A,FALSE,"요약손익";#N/A,#N/A,FALSE,"요약대차";#N/A,#N/A,FALSE,"매출채권현황";#N/A,#N/A,FALSE,"매출채권명세"}</definedName>
    <definedName name="순천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순천이" hidden="1">{#N/A,#N/A,FALSE,"손익표지";#N/A,#N/A,FALSE,"손익계산";#N/A,#N/A,FALSE,"일반관리비";#N/A,#N/A,FALSE,"영업외수익";#N/A,#N/A,FALSE,"영업외비용";#N/A,#N/A,FALSE,"매출액";#N/A,#N/A,FALSE,"요약손익";#N/A,#N/A,FALSE,"요약대차";#N/A,#N/A,FALSE,"매출채권현황";#N/A,#N/A,FALSE,"매출채권명세"}</definedName>
    <definedName name="시멘트골재집계" localSheetId="9" hidden="1">#REF!</definedName>
    <definedName name="시멘트골재집계" hidden="1">#REF!</definedName>
    <definedName name="시방서" localSheetId="11" hidden="1">{#N/A,#N/A,FALSE,"신청통보";#N/A,#N/A,FALSE,"기성확인서";#N/A,#N/A,FALSE,"기성내역서"}</definedName>
    <definedName name="시방서" hidden="1">{#N/A,#N/A,FALSE,"신청통보";#N/A,#N/A,FALSE,"기성확인서";#N/A,#N/A,FALSE,"기성내역서"}</definedName>
    <definedName name="실5" localSheetId="11" hidden="1">{"'을'!$A$1:$Z$93"}</definedName>
    <definedName name="실5" hidden="1">{"'을'!$A$1:$Z$93"}</definedName>
    <definedName name="실행추" localSheetId="11" hidden="1">{#N/A,#N/A,FALSE,"포장2"}</definedName>
    <definedName name="실행추" hidden="1">{#N/A,#N/A,FALSE,"포장2"}</definedName>
    <definedName name="ㅇㄴ" hidden="1">{#N/A,#N/A,FALSE,"구조2"}</definedName>
    <definedName name="ㅇㄴㄹㅇㄴㄹㅇㄴ" localSheetId="2" hidden="1">{#N/A,#N/A,FALSE,"조골재"}</definedName>
    <definedName name="ㅇㄴㄹㅇㄴㄹㅇㄴ" hidden="1">{#N/A,#N/A,FALSE,"조골재"}</definedName>
    <definedName name="ㅇㄴㄻ" localSheetId="11" hidden="1">{#N/A,#N/A,FALSE,"표지목차"}</definedName>
    <definedName name="ㅇㄴㄻ" hidden="1">{#N/A,#N/A,FALSE,"표지목차"}</definedName>
    <definedName name="ㅇㄴㄻㄴㅇ" localSheetId="11" hidden="1">{#N/A,#N/A,FALSE,"표지목차"}</definedName>
    <definedName name="ㅇㄴㄻㄴㅇ" hidden="1">{#N/A,#N/A,FALSE,"표지목차"}</definedName>
    <definedName name="ㅇㄴㅁ" localSheetId="11" hidden="1">#REF!</definedName>
    <definedName name="ㅇㄴㅁ" localSheetId="9" hidden="1">#REF!</definedName>
    <definedName name="ㅇㄴㅁ" hidden="1">#REF!</definedName>
    <definedName name="ㅇㄴㅋㅋㅌ" localSheetId="2" hidden="1">{#N/A,#N/A,FALSE,"혼합골재"}</definedName>
    <definedName name="ㅇㄴㅋㅋㅌ" hidden="1">{#N/A,#N/A,FALSE,"혼합골재"}</definedName>
    <definedName name="ㅇㄴㅍㄴㄱ" localSheetId="2" hidden="1">{#N/A,#N/A,FALSE,"골재소요량";#N/A,#N/A,FALSE,"골재소요량"}</definedName>
    <definedName name="ㅇㄴㅍㄴㄱ" hidden="1">{#N/A,#N/A,FALSE,"골재소요량";#N/A,#N/A,FALSE,"골재소요량"}</definedName>
    <definedName name="ㅇ나ㅓ릴" localSheetId="2"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ㅇ나ㅓ릴"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ㅇㄹ" localSheetId="11" hidden="1">{#N/A,#N/A,FALSE,"토공2"}</definedName>
    <definedName name="ㅇㄹ" localSheetId="9" hidden="1">#REF!</definedName>
    <definedName name="ㅇㄹ" hidden="1">#REF!</definedName>
    <definedName name="ㅇㄹㄹ" localSheetId="11" hidden="1">#REF!</definedName>
    <definedName name="ㅇㄹㄹ" localSheetId="9" hidden="1">#REF!</definedName>
    <definedName name="ㅇㄹㄹ" hidden="1">#REF!</definedName>
    <definedName name="ㅇㄹㄹㄹㄹㄹㄹㄹㄹㄹㄹㄹㄹㄹㄹ" localSheetId="11" hidden="1">{#N/A,#N/A,FALSE,"전력간선"}</definedName>
    <definedName name="ㅇㄹㄹㄹㄹㄹㄹㄹㄹㄹㄹㄹㄹㄹㄹ" hidden="1">{#N/A,#N/A,FALSE,"전력간선"}</definedName>
    <definedName name="ㅇㄺ" localSheetId="2" hidden="1">{#N/A,#N/A,FALSE,"혼합골재"}</definedName>
    <definedName name="ㅇㄺ" hidden="1">{#N/A,#N/A,FALSE,"혼합골재"}</definedName>
    <definedName name="ㅇㄻㄴㅁㄴㄻ" localSheetId="11" hidden="1">{#N/A,#N/A,FALSE,"단가표지"}</definedName>
    <definedName name="ㅇㄻㄴㅁㄴㄻ" hidden="1">{#N/A,#N/A,FALSE,"단가표지"}</definedName>
    <definedName name="ㅇㄻㅇㄻㄴㄹ" localSheetId="11" hidden="1">{#N/A,#N/A,FALSE,"단가표지"}</definedName>
    <definedName name="ㅇㄻㅇㄻㄴㄹ" hidden="1">{#N/A,#N/A,FALSE,"단가표지"}</definedName>
    <definedName name="ㅇㅀㅁㅇㅁㅇ" localSheetId="11" hidden="1">{#N/A,#N/A,FALSE,"단가표지"}</definedName>
    <definedName name="ㅇㅀㅁㅇㅁㅇ" hidden="1">{#N/A,#N/A,FALSE,"단가표지"}</definedName>
    <definedName name="ㅇ쇼뉴굔" localSheetId="2" hidden="1">{#N/A,#N/A,FALSE,"조골재"}</definedName>
    <definedName name="ㅇ쇼뉴굔" hidden="1">{#N/A,#N/A,FALSE,"조골재"}</definedName>
    <definedName name="ㅇ수ㅕㅜㅇ" localSheetId="2" hidden="1">{#N/A,#N/A,FALSE,"단가표지"}</definedName>
    <definedName name="ㅇ수ㅕㅜㅇ" hidden="1">{#N/A,#N/A,FALSE,"단가표지"}</definedName>
    <definedName name="ㅇㅇㅇ" hidden="1">{#N/A,#N/A,FALSE,"표지목차"}</definedName>
    <definedName name="ㅇㅇㅇㅇ" localSheetId="2" hidden="1">{#N/A,#N/A,FALSE,"2~8번"}</definedName>
    <definedName name="ㅇㅇㅇㅇ" hidden="1">{#N/A,#N/A,FALSE,"2~8번"}</definedName>
    <definedName name="ㅇㅇ호"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ㅈㄷㅄㅂㅈㄷㄱ" localSheetId="9" hidden="1">#REF!</definedName>
    <definedName name="ㅇㅈㄷㅄㅂㅈㄷㄱ" hidden="1">#REF!</definedName>
    <definedName name="ㅇㅍㄴㅁ3" localSheetId="2" hidden="1">{#N/A,#N/A,FALSE,"조골재"}</definedName>
    <definedName name="ㅇㅍㄴㅁ3" hidden="1">{#N/A,#N/A,FALSE,"조골재"}</definedName>
    <definedName name="ㅇㅎ롷" localSheetId="2"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ㅇㅎ롷"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ㅇㅎㅇㅎ" localSheetId="11" hidden="1">{"'용역비'!$A$4:$C$8"}</definedName>
    <definedName name="ㅇㅎㅇㅎ" hidden="1">{"'용역비'!$A$4:$C$8"}</definedName>
    <definedName name="ㅇ호" localSheetId="11" hidden="1">{#N/A,#N/A,FALSE,"혼합골재"}</definedName>
    <definedName name="ㅇ호" hidden="1">{#N/A,#N/A,FALSE,"혼합골재"}</definedName>
    <definedName name="아니ㅏ링" localSheetId="2"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니ㅏ링"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랑러ㅏㅇㄴㄹ" localSheetId="2"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랑러ㅏㅇㄴㄹ"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스콘2" hidden="1">#REF!</definedName>
    <definedName name="안" localSheetId="11" hidden="1">{"'활동원단위'!$A$22:$G$26"}</definedName>
    <definedName name="안" hidden="1">{"'활동원단위'!$A$22:$G$26"}</definedName>
    <definedName name="암거날개벽" localSheetId="11" hidden="1">#REF!</definedName>
    <definedName name="암거날개벽" hidden="1">#REF!</definedName>
    <definedName name="양재승2222222" localSheetId="11" hidden="1">#REF!</definedName>
    <definedName name="양재승2222222" hidden="1">#REF!</definedName>
    <definedName name="어ㅏㅇ" localSheetId="11" hidden="1">#REF!</definedName>
    <definedName name="어ㅏㅇ" hidden="1">#REF!</definedName>
    <definedName name="억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억수" hidden="1">{#N/A,#N/A,FALSE,"손익표지";#N/A,#N/A,FALSE,"손익계산";#N/A,#N/A,FALSE,"일반관리비";#N/A,#N/A,FALSE,"영업외수익";#N/A,#N/A,FALSE,"영업외비용";#N/A,#N/A,FALSE,"매출액";#N/A,#N/A,FALSE,"요약손익";#N/A,#N/A,FALSE,"요약대차";#N/A,#N/A,FALSE,"매출채권현황";#N/A,#N/A,FALSE,"매출채권명세"}</definedName>
    <definedName name="억이상" localSheetId="11" hidden="1">{#N/A,#N/A,FALSE,"2~8번"}</definedName>
    <definedName name="억이상" localSheetId="2" hidden="1">{#N/A,#N/A,FALSE,"2~8번"}</definedName>
    <definedName name="억이상" hidden="1">{#N/A,#N/A,FALSE,"2~8번"}</definedName>
    <definedName name="업무배분3" localSheetId="11" hidden="1">{"'관경확장'!$A$79:$M$98","'관경확장'!$A$54:$M$78"}</definedName>
    <definedName name="업무배분3" localSheetId="2" hidden="1">{"'관경확장'!$A$79:$M$98","'관경확장'!$A$54:$M$78"}</definedName>
    <definedName name="업무배분3" hidden="1">{"'관경확장'!$A$79:$M$98","'관경확장'!$A$54:$M$78"}</definedName>
    <definedName name="업체" localSheetId="9" hidden="1">#REF!</definedName>
    <definedName name="업체" hidden="1">#REF!</definedName>
    <definedName name="여ㅜㅅㅅㄱㅇ" localSheetId="2" hidden="1">{#N/A,#N/A,FALSE,"골재소요량";#N/A,#N/A,FALSE,"골재소요량"}</definedName>
    <definedName name="여ㅜㅅㅅㄱㅇ" hidden="1">{#N/A,#N/A,FALSE,"골재소요량";#N/A,#N/A,FALSE,"골재소요량"}</definedName>
    <definedName name="오" localSheetId="9" hidden="1">#REF!</definedName>
    <definedName name="오" hidden="1">#REF!</definedName>
    <definedName name="옹벼집계" localSheetId="2" hidden="1">{#N/A,#N/A,FALSE,"혼합골재"}</definedName>
    <definedName name="옹벼집계" hidden="1">{#N/A,#N/A,FALSE,"혼합골재"}</definedName>
    <definedName name="옹벽" localSheetId="2" hidden="1">{#N/A,#N/A,FALSE,"표지목차"}</definedName>
    <definedName name="옹벽" hidden="1">{#N/A,#N/A,FALSE,"표지목차"}</definedName>
    <definedName name="옹벽지" localSheetId="2" hidden="1">{#N/A,#N/A,FALSE,"혼합골재"}</definedName>
    <definedName name="옹벽지" hidden="1">{#N/A,#N/A,FALSE,"혼합골재"}</definedName>
    <definedName name="옹ㅇ벽" localSheetId="11" hidden="1">#REF!</definedName>
    <definedName name="옹ㅇ벽" hidden="1">#REF!</definedName>
    <definedName name="우리우리" localSheetId="2"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우리우리"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우ㅗ홓ㅇ" localSheetId="11" hidden="1">{#N/A,#N/A,FALSE,"조골재"}</definedName>
    <definedName name="우ㅗ홓ㅇ" hidden="1">{#N/A,#N/A,FALSE,"조골재"}</definedName>
    <definedName name="운반량집계표" localSheetId="11" hidden="1">{#N/A,#N/A,FALSE,"전력간선"}</definedName>
    <definedName name="운반량집계표" hidden="1">{#N/A,#N/A,FALSE,"전력간선"}</definedName>
    <definedName name="운반집계" localSheetId="11" hidden="1">{#N/A,#N/A,FALSE,"전력간선"}</definedName>
    <definedName name="운반집계" hidden="1">{#N/A,#N/A,FALSE,"전력간선"}</definedName>
    <definedName name="운반집계표" localSheetId="11" hidden="1">{#N/A,#N/A,FALSE,"전력간선"}</definedName>
    <definedName name="운반집계표" hidden="1">{#N/A,#N/A,FALSE,"전력간선"}</definedName>
    <definedName name="운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운어" hidden="1">{#N/A,#N/A,FALSE,"손익표지";#N/A,#N/A,FALSE,"손익계산";#N/A,#N/A,FALSE,"일반관리비";#N/A,#N/A,FALSE,"영업외수익";#N/A,#N/A,FALSE,"영업외비용";#N/A,#N/A,FALSE,"매출액";#N/A,#N/A,FALSE,"요약손익";#N/A,#N/A,FALSE,"요약대차";#N/A,#N/A,FALSE,"매출채권현황";#N/A,#N/A,FALSE,"매출채권명세"}</definedName>
    <definedName name="웃ㅇ국ㅇ" localSheetId="2" hidden="1">{#N/A,#N/A,FALSE,"혼합골재"}</definedName>
    <definedName name="웃ㅇ국ㅇ" hidden="1">{#N/A,#N/A,FALSE,"혼합골재"}</definedName>
    <definedName name="원가" localSheetId="2" hidden="1">{#N/A,#N/A,FALSE,"운반시간"}</definedName>
    <definedName name="원가" hidden="1">{#N/A,#N/A,FALSE,"운반시간"}</definedName>
    <definedName name="원남내역" localSheetId="11" hidden="1">#REF!</definedName>
    <definedName name="원남내역" localSheetId="9" hidden="1">#REF!</definedName>
    <definedName name="원남내역" hidden="1">#REF!</definedName>
    <definedName name="의" localSheetId="11" hidden="1">{#N/A,#N/A,FALSE,"운반시간"}</definedName>
    <definedName name="의" localSheetId="2" hidden="1">{#N/A,#N/A,FALSE,"운반시간"}</definedName>
    <definedName name="의" hidden="1">{#N/A,#N/A,FALSE,"운반시간"}</definedName>
    <definedName name="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런" localSheetId="11" hidden="1">{"'활동원단위'!$A$22:$G$26"}</definedName>
    <definedName name="이런" hidden="1">{"'활동원단위'!$A$22:$G$26"}</definedName>
    <definedName name="이름" hidden="1">{#N/A,#N/A,FALSE,"전력간선"}</definedName>
    <definedName name="이설" localSheetId="11" hidden="1">{#N/A,#N/A,FALSE,"전력간선"}</definedName>
    <definedName name="이설" hidden="1">{#N/A,#N/A,FALSE,"전력간선"}</definedName>
    <definedName name="이이"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일" localSheetId="11" hidden="1">#REF!</definedName>
    <definedName name="일" localSheetId="9" hidden="1">#REF!</definedName>
    <definedName name="일" hidden="1">#REF!</definedName>
    <definedName name="일반부" localSheetId="11" hidden="1">{#N/A,#N/A,FALSE,"조골재"}</definedName>
    <definedName name="일반부" hidden="1">{#N/A,#N/A,FALSE,"조골재"}</definedName>
    <definedName name="일반철콘" localSheetId="11" hidden="1">{#N/A,#N/A,FALSE,"토공2"}</definedName>
    <definedName name="일반철콘" hidden="1">{#N/A,#N/A,FALSE,"토공2"}</definedName>
    <definedName name="일위다" localSheetId="2" hidden="1">{"'제10장(표)'!$A$5:$L$10"}</definedName>
    <definedName name="일위다" hidden="1">{"'제10장(표)'!$A$5:$L$10"}</definedName>
    <definedName name="일위대" localSheetId="2" hidden="1">{"'제10장(표)'!$A$5:$L$10"}</definedName>
    <definedName name="일위대" hidden="1">{"'제10장(표)'!$A$5:$L$10"}</definedName>
    <definedName name="일위대가1" localSheetId="11" hidden="1">{#N/A,#N/A,TRUE,"대가1"}</definedName>
    <definedName name="일위대가1" hidden="1">{#N/A,#N/A,TRUE,"대가1"}</definedName>
    <definedName name="일위대가2" localSheetId="11" hidden="1">{#N/A,#N/A,TRUE,"대가1"}</definedName>
    <definedName name="일위대가2" hidden="1">{#N/A,#N/A,TRUE,"대가1"}</definedName>
    <definedName name="임금" localSheetId="2" hidden="1">{"'제10장(표)'!$A$5:$L$10"}</definedName>
    <definedName name="임금" hidden="1">{"'제10장(표)'!$A$5:$L$10"}</definedName>
    <definedName name="입찰금액안" localSheetId="11" hidden="1">#REF!</definedName>
    <definedName name="입찰금액안" localSheetId="9" hidden="1">#REF!</definedName>
    <definedName name="입찰금액안" hidden="1">#REF!</definedName>
    <definedName name="ㅈ" localSheetId="2" hidden="1">{#N/A,#N/A,FALSE,"골재소요량";#N/A,#N/A,FALSE,"골재소요량"}</definedName>
    <definedName name="ㅈ" hidden="1">{#N/A,#N/A,FALSE,"골재소요량";#N/A,#N/A,FALSE,"골재소요량"}</definedName>
    <definedName name="ㅈㄱ" localSheetId="11" hidden="1">{#N/A,#N/A,FALSE,"조골재"}</definedName>
    <definedName name="ㅈㄱ" hidden="1">{#N/A,#N/A,FALSE,"조골재"}</definedName>
    <definedName name="ㅈㄷ" hidden="1">{#N/A,#N/A,FALSE,"전력간선"}</definedName>
    <definedName name="ㅈㄷㄱㄷㄱㄷ" localSheetId="11" hidden="1">{"'용역비'!$A$4:$C$8"}</definedName>
    <definedName name="ㅈㄷㄱㄷㄱㄷ" hidden="1">{"'용역비'!$A$4:$C$8"}</definedName>
    <definedName name="ㅈㄷㄳㅈㄷㅍㅎㄱ" localSheetId="2" hidden="1">{#N/A,#N/A,FALSE,"표지목차"}</definedName>
    <definedName name="ㅈㄷㄳㅈㄷㅍㅎㄱ" hidden="1">{#N/A,#N/A,FALSE,"표지목차"}</definedName>
    <definedName name="ㅈㄷㄳㅎㅍㅂㅈㄱ" localSheetId="2" hidden="1">{#N/A,#N/A,FALSE,"골재소요량";#N/A,#N/A,FALSE,"골재소요량"}</definedName>
    <definedName name="ㅈㄷㄳㅎㅍㅂㅈㄱ" hidden="1">{#N/A,#N/A,FALSE,"골재소요량";#N/A,#N/A,FALSE,"골재소요량"}</definedName>
    <definedName name="ㅈㅁㄱㄷ" localSheetId="2" hidden="1">{#N/A,#N/A,FALSE,"단가표지"}</definedName>
    <definedName name="ㅈㅁㄱㄷ" hidden="1">{#N/A,#N/A,FALSE,"단가표지"}</definedName>
    <definedName name="ㅈㅇ" hidden="1">{"'용역비'!$A$4:$C$8"}</definedName>
    <definedName name="ㅈㅈ" localSheetId="11" hidden="1">{#N/A,#N/A,FALSE,"전력간선"}</definedName>
    <definedName name="ㅈㅈ" localSheetId="2" hidden="1">{#N/A,#N/A,FALSE,"조골재"}</definedName>
    <definedName name="ㅈㅈ" hidden="1">{#N/A,#N/A,FALSE,"조골재"}</definedName>
    <definedName name="ㅈㅈㅈ" localSheetId="2" hidden="1">{#N/A,#N/A,FALSE,"조골재"}</definedName>
    <definedName name="ㅈㅈㅈ" hidden="1">{#N/A,#N/A,FALSE,"조골재"}</definedName>
    <definedName name="ㅈㅈㅈㅈ" localSheetId="2" hidden="1">{#N/A,#N/A,FALSE,"골재소요량";#N/A,#N/A,FALSE,"골재소요량"}</definedName>
    <definedName name="ㅈㅈㅈㅈ" hidden="1">{#N/A,#N/A,FALSE,"골재소요량";#N/A,#N/A,FALSE,"골재소요량"}</definedName>
    <definedName name="ㅈㅈㅈㅈㅈ" localSheetId="2" hidden="1">{#N/A,#N/A,FALSE,"혼합골재"}</definedName>
    <definedName name="ㅈㅈㅈㅈㅈ" hidden="1">{#N/A,#N/A,FALSE,"혼합골재"}</definedName>
    <definedName name="ㅈㅈㅈㅈㅈㅈ" localSheetId="11" hidden="1">{"'용역비'!$A$4:$C$8"}</definedName>
    <definedName name="ㅈㅈㅈㅈㅈㅈ" hidden="1">{"'용역비'!$A$4:$C$8"}</definedName>
    <definedName name="자재3"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단가근거" localSheetId="9" hidden="1">#REF!</definedName>
    <definedName name="자재단가근거" hidden="1">#REF!</definedName>
    <definedName name="장경준" localSheetId="11" hidden="1">#REF!</definedName>
    <definedName name="장경준" hidden="1">#REF!</definedName>
    <definedName name="전기" localSheetId="11" hidden="1">{#N/A,#N/A,FALSE,"전력간선"}</definedName>
    <definedName name="전기" hidden="1">{#N/A,#N/A,FALSE,"전력간선"}</definedName>
    <definedName name="전영희" localSheetId="2" hidden="1">{#N/A,#N/A,FALSE,"골재소요량";#N/A,#N/A,FALSE,"골재소요량"}</definedName>
    <definedName name="전영희" hidden="1">{#N/A,#N/A,FALSE,"골재소요량";#N/A,#N/A,FALSE,"골재소요량"}</definedName>
    <definedName name="접속공정" hidden="1">{"'Sheet1'!$A$1:$H$49"}</definedName>
    <definedName name="제수문" localSheetId="9" hidden="1">#REF!</definedName>
    <definedName name="제수문" hidden="1">#REF!</definedName>
    <definedName name="조경자재총괄표" localSheetId="11" hidden="1">{#N/A,#N/A,FALSE,"골재소요량";#N/A,#N/A,FALSE,"골재소요량"}</definedName>
    <definedName name="조경자재총괄표" hidden="1">{#N/A,#N/A,FALSE,"골재소요량";#N/A,#N/A,FALSE,"골재소요량"}</definedName>
    <definedName name="조사가" localSheetId="11" hidden="1">#REF!</definedName>
    <definedName name="조사가" localSheetId="9" hidden="1">#REF!</definedName>
    <definedName name="조사가" hidden="1">#REF!</definedName>
    <definedName name="증감1" localSheetId="2" hidden="1">{#N/A,#N/A,FALSE,"2~8번"}</definedName>
    <definedName name="증감1" hidden="1">{#N/A,#N/A,FALSE,"2~8번"}</definedName>
    <definedName name="증감대비" localSheetId="11" hidden="1">{#N/A,#N/A,FALSE,"증감대비표";#N/A,#N/A,FALSE,"결의서";#N/A,#N/A,FALSE,"내역서";#N/A,#N/A,FALSE,"도급예상"}</definedName>
    <definedName name="증감대비" hidden="1">{#N/A,#N/A,FALSE,"증감대비표";#N/A,#N/A,FALSE,"결의서";#N/A,#N/A,FALSE,"내역서";#N/A,#N/A,FALSE,"도급예상"}</definedName>
    <definedName name="증감대비표" localSheetId="11" hidden="1">{#N/A,#N/A,FALSE,"증감대비표";#N/A,#N/A,FALSE,"결의서";#N/A,#N/A,FALSE,"내역서";#N/A,#N/A,FALSE,"도급예상"}</definedName>
    <definedName name="증감대비표" hidden="1">{#N/A,#N/A,FALSE,"증감대비표";#N/A,#N/A,FALSE,"결의서";#N/A,#N/A,FALSE,"내역서";#N/A,#N/A,FALSE,"도급예상"}</definedName>
    <definedName name="지"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출" localSheetId="11" hidden="1">{"'을'!$A$1:$Z$93"}</definedName>
    <definedName name="지출" hidden="1">{"'을'!$A$1:$Z$93"}</definedName>
    <definedName name="지하철거" hidden="1">{"'Sheet1'!$A$1:$H$49"}</definedName>
    <definedName name="지형도면고시" localSheetId="2"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지형도면고시"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직매54P" localSheetId="11" hidden="1">{#N/A,#N/A,TRUE,"토적및재료집계";#N/A,#N/A,TRUE,"토적및재료집계";#N/A,#N/A,TRUE,"단위량"}</definedName>
    <definedName name="직매54P" hidden="1">{#N/A,#N/A,TRUE,"토적및재료집계";#N/A,#N/A,TRUE,"토적및재료집계";#N/A,#N/A,TRUE,"단위량"}</definedName>
    <definedName name="집계표" localSheetId="11" hidden="1">{#N/A,#N/A,FALSE,"전력간선"}</definedName>
    <definedName name="집계표" hidden="1">{#N/A,#N/A,FALSE,"전력간선"}</definedName>
    <definedName name="집수정토공" localSheetId="11" hidden="1">#REF!</definedName>
    <definedName name="집수정토공" hidden="1">#REF!</definedName>
    <definedName name="ㅊ" localSheetId="2" hidden="1">{#N/A,#N/A,FALSE,"단가표지"}</definedName>
    <definedName name="ㅊ" hidden="1">{#N/A,#N/A,FALSE,"단가표지"}</definedName>
    <definedName name="ㅊㅊㅊ" localSheetId="2" hidden="1">{#N/A,#N/A,FALSE,"운반시간"}</definedName>
    <definedName name="ㅊㅊㅊ" hidden="1">{#N/A,#N/A,FALSE,"운반시간"}</definedName>
    <definedName name="ㅊㅊㅊㅊㅊ" localSheetId="2" hidden="1">{#N/A,#N/A,FALSE,"단가표지"}</definedName>
    <definedName name="ㅊㅊㅊㅊㅊ" hidden="1">{#N/A,#N/A,FALSE,"단가표지"}</definedName>
    <definedName name="ㅊㅊㅊㅊㅊㅊ" localSheetId="2" hidden="1">{#N/A,#N/A,FALSE,"조골재"}</definedName>
    <definedName name="ㅊㅊㅊㅊㅊㅊ" hidden="1">{#N/A,#N/A,FALSE,"조골재"}</definedName>
    <definedName name="ㅊㅊㅊㅊㅊㅊㅊ" localSheetId="2" hidden="1">{#N/A,#N/A,FALSE,"표지목차"}</definedName>
    <definedName name="ㅊㅊㅊㅊㅊㅊㅊ" hidden="1">{#N/A,#N/A,FALSE,"표지목차"}</definedName>
    <definedName name="ㅊㅍㅋㅌㅊㅋ" localSheetId="11" hidden="1">{#N/A,#N/A,FALSE,"운반시간"}</definedName>
    <definedName name="ㅊㅍㅋㅌㅊㅋ" hidden="1">{#N/A,#N/A,FALSE,"운반시간"}</definedName>
    <definedName name="ㅊㅍㅋㅌㅍㅌ" localSheetId="11" hidden="1">{#N/A,#N/A,FALSE,"혼합골재"}</definedName>
    <definedName name="ㅊㅍㅋㅌㅍㅌ" hidden="1">{#N/A,#N/A,FALSE,"혼합골재"}</definedName>
    <definedName name="차집관로" hidden="1">{#N/A,#N/A,FALSE,"신청통보";#N/A,#N/A,FALSE,"기성확인서";#N/A,#N/A,FALSE,"기성내역서"}</definedName>
    <definedName name="차차" localSheetId="11" hidden="1">#REF!</definedName>
    <definedName name="차차" hidden="1">#REF!</definedName>
    <definedName name="철근량" localSheetId="11" hidden="1">{#N/A,#N/A,FALSE,"전력간선"}</definedName>
    <definedName name="철근량" hidden="1">{#N/A,#N/A,FALSE,"전력간선"}</definedName>
    <definedName name="철근총괄1" localSheetId="2" hidden="1">{#N/A,#N/A,FALSE,"표지목차"}</definedName>
    <definedName name="철근총괄1" hidden="1">{#N/A,#N/A,FALSE,"표지목차"}</definedName>
    <definedName name="총공사비" hidden="1">{#N/A,#N/A,FALSE,"전력간선"}</definedName>
    <definedName name="총공사비2" localSheetId="11" hidden="1">{#N/A,#N/A,FALSE,"전력간선"}</definedName>
    <definedName name="총공사비2" hidden="1">{#N/A,#N/A,FALSE,"전력간선"}</definedName>
    <definedName name="총과2" localSheetId="11" hidden="1">{"'을'!$A$1:$Z$93"}</definedName>
    <definedName name="총과2" hidden="1">{"'을'!$A$1:$Z$93"}</definedName>
    <definedName name="총괄2" localSheetId="11" hidden="1">{"'을'!$A$1:$Z$93"}</definedName>
    <definedName name="총괄2" hidden="1">{"'을'!$A$1:$Z$93"}</definedName>
    <definedName name="총괄서" localSheetId="11" hidden="1">{#N/A,#N/A,TRUE,"대가1"}</definedName>
    <definedName name="총괄서" hidden="1">{#N/A,#N/A,TRUE,"대가1"}</definedName>
    <definedName name="추2"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ㅋㅋ" hidden="1">{#N/A,#N/A,FALSE,"전력간선"}</definedName>
    <definedName name="ㅋㅋㅋㅋ" localSheetId="2" hidden="1">{#N/A,#N/A,FALSE,"조골재"}</definedName>
    <definedName name="ㅋㅋㅋㅋ" hidden="1">{#N/A,#N/A,FALSE,"조골재"}</definedName>
    <definedName name="ㅋㅋㅋㅋㅋㅋ" localSheetId="2" hidden="1">{#N/A,#N/A,FALSE,"골재소요량";#N/A,#N/A,FALSE,"골재소요량"}</definedName>
    <definedName name="ㅋㅋㅋㅋㅋㅋ" hidden="1">{#N/A,#N/A,FALSE,"골재소요량";#N/A,#N/A,FALSE,"골재소요량"}</definedName>
    <definedName name="ㅋㅌ" localSheetId="11" hidden="1">{"'용역비'!$A$4:$C$8"}</definedName>
    <definedName name="ㅋㅌ" hidden="1">{"'용역비'!$A$4:$C$8"}</definedName>
    <definedName name="케이블간지" localSheetId="11" hidden="1">{#N/A,#N/A,TRUE,"토적및재료집계";#N/A,#N/A,TRUE,"토적및재료집계";#N/A,#N/A,TRUE,"단위량"}</definedName>
    <definedName name="케이블간지" hidden="1">{#N/A,#N/A,TRUE,"토적및재료집계";#N/A,#N/A,TRUE,"토적및재료집계";#N/A,#N/A,TRUE,"단위량"}</definedName>
    <definedName name="콘크리트2" localSheetId="11" hidden="1">#REF!</definedName>
    <definedName name="콘크리트2" localSheetId="9" hidden="1">#REF!</definedName>
    <definedName name="콘크리트2" hidden="1">#REF!</definedName>
    <definedName name="ㅌ" localSheetId="11" hidden="1">{#N/A,#N/A,FALSE,"2~8번"}</definedName>
    <definedName name="ㅌ" localSheetId="2" hidden="1">{#N/A,#N/A,FALSE,"골재소요량";#N/A,#N/A,FALSE,"골재소요량"}</definedName>
    <definedName name="ㅌ" hidden="1">{#N/A,#N/A,FALSE,"골재소요량";#N/A,#N/A,FALSE,"골재소요량"}</definedName>
    <definedName name="ㅌㅌ" localSheetId="2" hidden="1">{#N/A,#N/A,FALSE,"조골재"}</definedName>
    <definedName name="ㅌㅌ" hidden="1">{#N/A,#N/A,FALSE,"조골재"}</definedName>
    <definedName name="ㅌㅌㅌ" localSheetId="2" hidden="1">{#N/A,#N/A,FALSE,"골재소요량";#N/A,#N/A,FALSE,"골재소요량"}</definedName>
    <definedName name="ㅌㅌㅌ" hidden="1">{#N/A,#N/A,FALSE,"골재소요량";#N/A,#N/A,FALSE,"골재소요량"}</definedName>
    <definedName name="ㅌㅌㅌㅌ" localSheetId="2" hidden="1">{#N/A,#N/A,FALSE,"2~8번"}</definedName>
    <definedName name="ㅌㅌㅌㅌ" hidden="1">{#N/A,#N/A,FALSE,"2~8번"}</definedName>
    <definedName name="ㅌㅌㅌㅌㅌ" localSheetId="2" hidden="1">{#N/A,#N/A,FALSE,"골재소요량";#N/A,#N/A,FALSE,"골재소요량"}</definedName>
    <definedName name="ㅌㅌㅌㅌㅌ" hidden="1">{#N/A,#N/A,FALSE,"골재소요량";#N/A,#N/A,FALSE,"골재소요량"}</definedName>
    <definedName name="ㅌㅌㅌㅌㅌㅌ" localSheetId="2" hidden="1">{#N/A,#N/A,FALSE,"조골재"}</definedName>
    <definedName name="ㅌㅌㅌㅌㅌㅌ" hidden="1">{#N/A,#N/A,FALSE,"조골재"}</definedName>
    <definedName name="ㅌㅍ츛ㅌ" localSheetId="11" hidden="1">{#N/A,#N/A,FALSE,"운반시간"}</definedName>
    <definedName name="ㅌㅍ츛ㅌ" hidden="1">{#N/A,#N/A,FALSE,"운반시간"}</definedName>
    <definedName name="태영" localSheetId="2" hidden="1">{#N/A,#N/A,FALSE,"골재소요량";#N/A,#N/A,FALSE,"골재소요량"}</definedName>
    <definedName name="태영" hidden="1">{#N/A,#N/A,FALSE,"골재소요량";#N/A,#N/A,FALSE,"골재소요량"}</definedName>
    <definedName name="테스크" localSheetId="11" hidden="1">{#N/A,#N/A,FALSE,"단가표지"}</definedName>
    <definedName name="테스크" hidden="1">{#N/A,#N/A,FALSE,"단가표지"}</definedName>
    <definedName name="토"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9" hidden="1">#REF!</definedName>
    <definedName name="토" hidden="1">#REF!</definedName>
    <definedName name="토공" hidden="1">{#N/A,#N/A,FALSE,"포장2"}</definedName>
    <definedName name="토공." localSheetId="2" hidden="1">{#N/A,#N/A,FALSE,"운반시간"}</definedName>
    <definedName name="토공." hidden="1">{#N/A,#N/A,FALSE,"운반시간"}</definedName>
    <definedName name="토공1" hidden="1">#REF!</definedName>
    <definedName name="토공222" localSheetId="11" hidden="1">{#N/A,#N/A,FALSE,"토공2"}</definedName>
    <definedName name="토공222" hidden="1">{#N/A,#N/A,FALSE,"토공2"}</definedName>
    <definedName name="토공이수" localSheetId="11" hidden="1">#REF!</definedName>
    <definedName name="토공이수" hidden="1">#REF!</definedName>
    <definedName name="토공집계" localSheetId="2" hidden="1">{#N/A,#N/A,FALSE,"단가표지"}</definedName>
    <definedName name="토공집계" hidden="1">{#N/A,#N/A,FALSE,"단가표지"}</definedName>
    <definedName name="토목"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설계" localSheetId="11" hidden="1">{#N/A,#N/A,FALSE,"골재소요량";#N/A,#N/A,FALSE,"골재소요량"}</definedName>
    <definedName name="토목설계" localSheetId="2" hidden="1">{#N/A,#N/A,FALSE,"골재소요량";#N/A,#N/A,FALSE,"골재소요량"}</definedName>
    <definedName name="토목설계" hidden="1">{#N/A,#N/A,FALSE,"골재소요량";#N/A,#N/A,FALSE,"골재소요량"}</definedName>
    <definedName name="토적계산서" hidden="1">#REF!</definedName>
    <definedName name="토적표01" localSheetId="11" hidden="1">#REF!</definedName>
    <definedName name="토적표01" hidden="1">#REF!</definedName>
    <definedName name="투찰원가" localSheetId="2" hidden="1">{#N/A,#N/A,FALSE,"2~8번"}</definedName>
    <definedName name="투찰원가" hidden="1">{#N/A,#N/A,FALSE,"2~8번"}</definedName>
    <definedName name="ㅍ" localSheetId="11" hidden="1">{#N/A,#N/A,FALSE,"2~8번"}</definedName>
    <definedName name="ㅍ" localSheetId="2" hidden="1">{#N/A,#N/A,FALSE,"혼합골재"}</definedName>
    <definedName name="ㅍ" hidden="1">{#N/A,#N/A,FALSE,"혼합골재"}</definedName>
    <definedName name="ㅍ춫" localSheetId="11" hidden="1">{#N/A,#N/A,FALSE,"골재소요량";#N/A,#N/A,FALSE,"골재소요량"}</definedName>
    <definedName name="ㅍ춫" hidden="1">{#N/A,#N/A,FALSE,"골재소요량";#N/A,#N/A,FALSE,"골재소요량"}</definedName>
    <definedName name="ㅍ츝" localSheetId="11" hidden="1">{#N/A,#N/A,FALSE,"표지목차"}</definedName>
    <definedName name="ㅍ츝" hidden="1">{#N/A,#N/A,FALSE,"표지목차"}</definedName>
    <definedName name="ㅍㅍ" localSheetId="11" hidden="1">{#N/A,#N/A,TRUE,"토적및재료집계";#N/A,#N/A,TRUE,"토적및재료집계";#N/A,#N/A,TRUE,"단위량"}</definedName>
    <definedName name="ㅍㅍ" hidden="1">{#N/A,#N/A,TRUE,"토적및재료집계";#N/A,#N/A,TRUE,"토적및재료집계";#N/A,#N/A,TRUE,"단위량"}</definedName>
    <definedName name="ㅍㅍㅍㅍㅍ" localSheetId="2" hidden="1">{#N/A,#N/A,FALSE,"표지목차"}</definedName>
    <definedName name="ㅍㅍㅍㅍㅍ" hidden="1">{#N/A,#N/A,FALSE,"표지목차"}</definedName>
    <definedName name="파일" localSheetId="11" hidden="1">#REF!</definedName>
    <definedName name="파일" localSheetId="9" hidden="1">#REF!</definedName>
    <definedName name="파일" hidden="1">#REF!</definedName>
    <definedName name="파크" localSheetId="11" hidden="1">{#N/A,#N/A,FALSE,"전력간선"}</definedName>
    <definedName name="파크" hidden="1">{#N/A,#N/A,FALSE,"전력간선"}</definedName>
    <definedName name="파크파크" localSheetId="11" hidden="1">{#N/A,#N/A,FALSE,"전력간선"}</definedName>
    <definedName name="파크파크" hidden="1">{#N/A,#N/A,FALSE,"전력간선"}</definedName>
    <definedName name="파크파크파크파크" localSheetId="11" hidden="1">{#N/A,#N/A,FALSE,"전력간선"}</definedName>
    <definedName name="파크파크파크파크" hidden="1">{#N/A,#N/A,FALSE,"전력간선"}</definedName>
    <definedName name="팔" localSheetId="9" hidden="1">#REF!</definedName>
    <definedName name="팔" hidden="1">#REF!</definedName>
    <definedName name="폐기공" localSheetId="11" hidden="1">#REF!</definedName>
    <definedName name="폐기공" hidden="1">#REF!</definedName>
    <definedName name="폐기물수량산출서" localSheetId="11" hidden="1">#REF!</definedName>
    <definedName name="폐기물수량산출서" hidden="1">#REF!</definedName>
    <definedName name="포장수량산출" localSheetId="9" hidden="1">#REF!</definedName>
    <definedName name="포장수량산출" hidden="1">#REF!</definedName>
    <definedName name="표지" hidden="1">#REF!</definedName>
    <definedName name="표지2" hidden="1">#REF!</definedName>
    <definedName name="표지3" localSheetId="11" hidden="1">{"'관경확장'!$A$79:$M$98","'관경확장'!$A$54:$M$78"}</definedName>
    <definedName name="표지3" hidden="1">{"'관경확장'!$A$79:$M$98","'관경확장'!$A$54:$M$78"}</definedName>
    <definedName name="ㅎ5" localSheetId="11" hidden="1">{#N/A,#N/A,FALSE,"골재소요량";#N/A,#N/A,FALSE,"골재소요량"}</definedName>
    <definedName name="ㅎ5" hidden="1">{#N/A,#N/A,FALSE,"골재소요량";#N/A,#N/A,FALSE,"골재소요량"}</definedName>
    <definedName name="ㅎㄱ" localSheetId="11" hidden="1">{"'용역비'!$A$4:$C$8"}</definedName>
    <definedName name="ㅎㄱ" hidden="1">{"'용역비'!$A$4:$C$8"}</definedName>
    <definedName name="ㅎㄱㄷㅎ" localSheetId="2" hidden="1">{#N/A,#N/A,FALSE,"골재소요량";#N/A,#N/A,FALSE,"골재소요량"}</definedName>
    <definedName name="ㅎㄱㄷㅎ" hidden="1">{#N/A,#N/A,FALSE,"골재소요량";#N/A,#N/A,FALSE,"골재소요량"}</definedName>
    <definedName name="ㅎㄱㅎ" localSheetId="11" hidden="1">{"'용역비'!$A$4:$C$8"}</definedName>
    <definedName name="ㅎㄱㅎ" hidden="1">{"'용역비'!$A$4:$C$8"}</definedName>
    <definedName name="ㅎㄱㅎㄱㅎㄱㅎ" localSheetId="11" hidden="1">{"'용역비'!$A$4:$C$8"}</definedName>
    <definedName name="ㅎㄱㅎㄱㅎㄱㅎ" hidden="1">{"'용역비'!$A$4:$C$8"}</definedName>
    <definedName name="ㅎㄱㅎㅎㄷㄶ" localSheetId="2" hidden="1">{#N/A,#N/A,FALSE,"골재소요량";#N/A,#N/A,FALSE,"골재소요량"}</definedName>
    <definedName name="ㅎㄱㅎㅎㄷㄶ" hidden="1">{#N/A,#N/A,FALSE,"골재소요량";#N/A,#N/A,FALSE,"골재소요량"}</definedName>
    <definedName name="ㅎㄴ" localSheetId="11" hidden="1">{#N/A,#N/A,FALSE,"단가표지"}</definedName>
    <definedName name="ㅎㄴ" hidden="1">{#N/A,#N/A,FALSE,"단가표지"}</definedName>
    <definedName name="ㅎㄹㄴ" localSheetId="2" hidden="1">{#N/A,#N/A,FALSE,"2~8번"}</definedName>
    <definedName name="ㅎㄹㄴ" hidden="1">{#N/A,#N/A,FALSE,"2~8번"}</definedName>
    <definedName name="ㅎㄹㄴㅇ" localSheetId="11" hidden="1">{#N/A,#N/A,FALSE,"단가표지"}</definedName>
    <definedName name="ㅎㄹㄴㅇ" hidden="1">{#N/A,#N/A,FALSE,"단가표지"}</definedName>
    <definedName name="ㅎㄹㅇ" localSheetId="2"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ㅎㄹㅇ"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ㅎㄹㅇㄴ" localSheetId="11" hidden="1">{#N/A,#N/A,FALSE,"골재소요량";#N/A,#N/A,FALSE,"골재소요량"}</definedName>
    <definedName name="ㅎㄹㅇㄴ" hidden="1">{#N/A,#N/A,FALSE,"골재소요량";#N/A,#N/A,FALSE,"골재소요량"}</definedName>
    <definedName name="ㅎㄹㅇㄹㄴㅇㄴㄹ" localSheetId="2" hidden="1">{#N/A,#N/A,FALSE,"표지목차"}</definedName>
    <definedName name="ㅎㄹㅇㄹㄴㅇㄴㄹ" hidden="1">{#N/A,#N/A,FALSE,"표지목차"}</definedName>
    <definedName name="ㅎㄹㅇㅁㅁㅎ" localSheetId="11" hidden="1">{#N/A,#N/A,FALSE,"조골재"}</definedName>
    <definedName name="ㅎㄹㅇㅁㅁㅎ" hidden="1">{#N/A,#N/A,FALSE,"조골재"}</definedName>
    <definedName name="ㅎㄹㅇㅁㅎㅁ" localSheetId="11" hidden="1">{#N/A,#N/A,FALSE,"표지목차"}</definedName>
    <definedName name="ㅎㄹㅇㅁㅎㅁ" hidden="1">{#N/A,#N/A,FALSE,"표지목차"}</definedName>
    <definedName name="ㅎㄹㅇㅎ" localSheetId="11" hidden="1">{#N/A,#N/A,FALSE,"단가표지"}</definedName>
    <definedName name="ㅎㄹㅇㅎ" hidden="1">{#N/A,#N/A,FALSE,"단가표지"}</definedName>
    <definedName name="ㅎㄹㅇㅎㅇㅁㅎ" localSheetId="11" hidden="1">{#N/A,#N/A,FALSE,"운반시간"}</definedName>
    <definedName name="ㅎㄹㅇㅎㅇㅁㅎ" hidden="1">{#N/A,#N/A,FALSE,"운반시간"}</definedName>
    <definedName name="ㅎ류휴ㅠㅎ휴" localSheetId="2" hidden="1">{#N/A,#N/A,FALSE,"골재소요량";#N/A,#N/A,FALSE,"골재소요량"}</definedName>
    <definedName name="ㅎ류휴ㅠㅎ휴" hidden="1">{#N/A,#N/A,FALSE,"골재소요량";#N/A,#N/A,FALSE,"골재소요량"}</definedName>
    <definedName name="ㅎ류ㅠㅍㅎㅇㅎ" localSheetId="2" hidden="1">{#N/A,#N/A,FALSE,"골재소요량";#N/A,#N/A,FALSE,"골재소요량"}</definedName>
    <definedName name="ㅎ류ㅠㅍㅎㅇㅎ" hidden="1">{#N/A,#N/A,FALSE,"골재소요량";#N/A,#N/A,FALSE,"골재소요량"}</definedName>
    <definedName name="ㅎ륜ㅇㄹ" localSheetId="11" hidden="1">{#N/A,#N/A,FALSE,"2~8번"}</definedName>
    <definedName name="ㅎ륜ㅇㄹ" hidden="1">{#N/A,#N/A,FALSE,"2~8번"}</definedName>
    <definedName name="ㅎ률" localSheetId="2" hidden="1">{#N/A,#N/A,FALSE,"조골재"}</definedName>
    <definedName name="ㅎ률" hidden="1">{#N/A,#N/A,FALSE,"조골재"}</definedName>
    <definedName name="ㅎ르ㅓㅗㅓ" localSheetId="11" hidden="1">{#N/A,#N/A,FALSE,"골재소요량";#N/A,#N/A,FALSE,"골재소요량"}</definedName>
    <definedName name="ㅎ르ㅓㅗㅓ" hidden="1">{#N/A,#N/A,FALSE,"골재소요량";#N/A,#N/A,FALSE,"골재소요량"}</definedName>
    <definedName name="ㅎㄻㄹㅇㅎㅇㅁ" localSheetId="11" hidden="1">{#N/A,#N/A,FALSE,"혼합골재"}</definedName>
    <definedName name="ㅎㄻㄹㅇㅎㅇㅁ" hidden="1">{#N/A,#N/A,FALSE,"혼합골재"}</definedName>
    <definedName name="ㅎㄻㅇㅎㅁㅇㅎㅁㅇㅎ" localSheetId="11" hidden="1">{#N/A,#N/A,FALSE,"골재소요량";#N/A,#N/A,FALSE,"골재소요량"}</definedName>
    <definedName name="ㅎㄻㅇㅎㅁㅇㅎㅁㅇㅎ" hidden="1">{#N/A,#N/A,FALSE,"골재소요량";#N/A,#N/A,FALSE,"골재소요량"}</definedName>
    <definedName name="ㅎㅁㅇㅀㅁㅇ" localSheetId="11" hidden="1">{#N/A,#N/A,FALSE,"단가표지"}</definedName>
    <definedName name="ㅎㅁㅇㅀㅁㅇ" hidden="1">{#N/A,#N/A,FALSE,"단가표지"}</definedName>
    <definedName name="ㅎㅁㅇㅀㅁㅇㅎㅁ" localSheetId="11" hidden="1">{#N/A,#N/A,FALSE,"단가표지"}</definedName>
    <definedName name="ㅎㅁㅇㅀㅁㅇㅎㅁ" hidden="1">{#N/A,#N/A,FALSE,"단가표지"}</definedName>
    <definedName name="ㅎㅁㅎㄻㄴㅇ" localSheetId="11" hidden="1">{#N/A,#N/A,FALSE,"단가표지"}</definedName>
    <definedName name="ㅎㅁㅎㄻㄴㅇ" hidden="1">{#N/A,#N/A,FALSE,"단가표지"}</definedName>
    <definedName name="ㅎㅇㄴ" localSheetId="11" hidden="1">{#N/A,#N/A,FALSE,"단가표지"}</definedName>
    <definedName name="ㅎㅇㄴ" localSheetId="2" hidden="1">{#N/A,#N/A,FALSE,"2~8번"}</definedName>
    <definedName name="ㅎㅇㄴ" hidden="1">{#N/A,#N/A,FALSE,"2~8번"}</definedName>
    <definedName name="ㅎㅇㄹ홍ㄴ로" localSheetId="11" hidden="1">{#N/A,#N/A,FALSE,"단가표지"}</definedName>
    <definedName name="ㅎㅇㄹ홍ㄴ로" hidden="1">{#N/A,#N/A,FALSE,"단가표지"}</definedName>
    <definedName name="ㅎㅇㄻㅎㅁㅇ" localSheetId="11" hidden="1">{#N/A,#N/A,FALSE,"혼합골재"}</definedName>
    <definedName name="ㅎㅇㄻㅎㅁㅇ" hidden="1">{#N/A,#N/A,FALSE,"혼합골재"}</definedName>
    <definedName name="ㅎㅇㄻㅎㅁㅎㅁㅇ" localSheetId="11" hidden="1">{#N/A,#N/A,FALSE,"운반시간"}</definedName>
    <definedName name="ㅎㅇㄻㅎㅁㅎㅁㅇ" hidden="1">{#N/A,#N/A,FALSE,"운반시간"}</definedName>
    <definedName name="ㅎㅇㅀ" localSheetId="11" hidden="1">{#N/A,#N/A,FALSE,"단가표지"}</definedName>
    <definedName name="ㅎㅇㅀ" hidden="1">{#N/A,#N/A,FALSE,"단가표지"}</definedName>
    <definedName name="ㅎㅇㅀㄴ" localSheetId="11" hidden="1">{#N/A,#N/A,FALSE,"골재소요량";#N/A,#N/A,FALSE,"골재소요량"}</definedName>
    <definedName name="ㅎㅇㅀㄴ" hidden="1">{#N/A,#N/A,FALSE,"골재소요량";#N/A,#N/A,FALSE,"골재소요량"}</definedName>
    <definedName name="ㅎㅇㅀㅁㅇㅎㅁㅇ" localSheetId="11" hidden="1">{#N/A,#N/A,FALSE,"단가표지"}</definedName>
    <definedName name="ㅎㅇㅀㅁㅇㅎㅁㅇ" hidden="1">{#N/A,#N/A,FALSE,"단가표지"}</definedName>
    <definedName name="ㅎㅇㅀㅇㅀ" localSheetId="11" hidden="1">{#N/A,#N/A,FALSE,"표지목차"}</definedName>
    <definedName name="ㅎㅇㅀㅇㅀ" hidden="1">{#N/A,#N/A,FALSE,"표지목차"}</definedName>
    <definedName name="ㅎㅇㅀㅇㅀㅇ" localSheetId="11" hidden="1">{#N/A,#N/A,FALSE,"표지목차"}</definedName>
    <definedName name="ㅎㅇㅀㅇㅀㅇ" hidden="1">{#N/A,#N/A,FALSE,"표지목차"}</definedName>
    <definedName name="ㅎㅇㅁㄴㄹ" localSheetId="11" hidden="1">{#N/A,#N/A,FALSE,"운반시간"}</definedName>
    <definedName name="ㅎㅇㅁㄴㄹ" hidden="1">{#N/A,#N/A,FALSE,"운반시간"}</definedName>
    <definedName name="ㅎㅇㅁㅀㅁㅇ" localSheetId="11" hidden="1">{#N/A,#N/A,FALSE,"단가표지"}</definedName>
    <definedName name="ㅎㅇㅁㅀㅁㅇ" hidden="1">{#N/A,#N/A,FALSE,"단가표지"}</definedName>
    <definedName name="ㅎㅎ" localSheetId="11" hidden="1">{#N/A,#N/A,FALSE,"전력간선"}</definedName>
    <definedName name="ㅎㅎ" localSheetId="2" hidden="1">{#N/A,#N/A,FALSE,"표지목차"}</definedName>
    <definedName name="ㅎㅎ" hidden="1">{#N/A,#N/A,FALSE,"표지목차"}</definedName>
    <definedName name="ㅎㅎㅎ" localSheetId="2" hidden="1">{#N/A,#N/A,FALSE,"혼합골재"}</definedName>
    <definedName name="ㅎㅎㅎ" hidden="1">{#N/A,#N/A,FALSE,"혼합골재"}</definedName>
    <definedName name="ㅎㅎㅎㅇㄴ" localSheetId="2" hidden="1">{#N/A,#N/A,FALSE,"표지목차"}</definedName>
    <definedName name="ㅎㅎㅎㅇㄴ" hidden="1">{#N/A,#N/A,FALSE,"표지목차"}</definedName>
    <definedName name="ㅎㅎㅎㅎ" localSheetId="2" hidden="1">{#N/A,#N/A,FALSE,"2~8번"}</definedName>
    <definedName name="ㅎㅎㅎㅎ" hidden="1">{#N/A,#N/A,FALSE,"2~8번"}</definedName>
    <definedName name="ㅎㅎㅎㅎㅎ" localSheetId="2" hidden="1">{#N/A,#N/A,FALSE,"단가표지"}</definedName>
    <definedName name="ㅎㅎㅎㅎㅎ" hidden="1">{#N/A,#N/A,FALSE,"단가표지"}</definedName>
    <definedName name="ㅎㅎㅎㅎㅎㅎㅎㅎㅎㅎ" localSheetId="11" hidden="1">{#N/A,#N/A,FALSE,"전력간선"}</definedName>
    <definedName name="ㅎㅎㅎㅎㅎㅎㅎㅎㅎㅎ" hidden="1">{#N/A,#N/A,FALSE,"전력간선"}</definedName>
    <definedName name="ㅎㅎㅎㅎㅎㅎㅎㅎㅎㅎㅎㅎㅎㅎㅎㅎㅎㅎㅎㅎㅎㅎㅎㅎㅎㅎㅎㅎ" localSheetId="11" hidden="1">{#N/A,#N/A,FALSE,"전력간선"}</definedName>
    <definedName name="ㅎㅎㅎㅎㅎㅎㅎㅎㅎㅎㅎㅎㅎㅎㅎㅎㅎㅎㅎㅎㅎㅎㅎㅎㅎㅎㅎㅎ" hidden="1">{#N/A,#N/A,FALSE,"전력간선"}</definedName>
    <definedName name="ㅎㅎㅎㅎㅎㅜㅜ" localSheetId="2" hidden="1">{#N/A,#N/A,FALSE,"조골재"}</definedName>
    <definedName name="ㅎㅎㅎㅎㅎㅜㅜ" hidden="1">{#N/A,#N/A,FALSE,"조골재"}</definedName>
    <definedName name="하" localSheetId="11" hidden="1">{#N/A,#N/A,FALSE,"전력간선"}</definedName>
    <definedName name="하" localSheetId="2" hidden="1">{"'제10장(표)'!$A$5:$L$10"}</definedName>
    <definedName name="하" hidden="1">{"'제10장(표)'!$A$5:$L$10"}</definedName>
    <definedName name="하늘" localSheetId="11" hidden="1">{#N/A,#N/A,FALSE,"전력간선"}</definedName>
    <definedName name="하늘" hidden="1">{#N/A,#N/A,FALSE,"전력간선"}</definedName>
    <definedName name="하도급통보내역" localSheetId="11" hidden="1">{#N/A,#N/A,FALSE,"신청통보";#N/A,#N/A,FALSE,"기성확인서";#N/A,#N/A,FALSE,"기성내역서"}</definedName>
    <definedName name="하도급통보내역" hidden="1">{#N/A,#N/A,FALSE,"신청통보";#N/A,#N/A,FALSE,"기성확인서";#N/A,#N/A,FALSE,"기성내역서"}</definedName>
    <definedName name="하도사"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대비표" localSheetId="11" hidden="1">{#N/A,#N/A,FALSE,"증감대비표";#N/A,#N/A,FALSE,"결의서";#N/A,#N/A,FALSE,"내역서";#N/A,#N/A,FALSE,"도급예상"}</definedName>
    <definedName name="하동대비표" hidden="1">{#N/A,#N/A,FALSE,"증감대비표";#N/A,#N/A,FALSE,"결의서";#N/A,#N/A,FALSE,"내역서";#N/A,#N/A,FALSE,"도급예상"}</definedName>
    <definedName name="하아ㅓㅏㅣㅎ" localSheetId="11" hidden="1">{#N/A,#N/A,FALSE,"전력간선"}</definedName>
    <definedName name="하아ㅓㅏㅣㅎ" hidden="1">{#N/A,#N/A,FALSE,"전력간선"}</definedName>
    <definedName name="하하" hidden="1">#REF!</definedName>
    <definedName name="하ㅣ" localSheetId="11" hidden="1">{#N/A,#N/A,FALSE,"전력간선"}</definedName>
    <definedName name="하ㅣ" hidden="1">{#N/A,#N/A,FALSE,"전력간선"}</definedName>
    <definedName name="한" hidden="1">#REF!</definedName>
    <definedName name="항나" localSheetId="2" hidden="1">{"'급수관로수리계산서'!$A$1:$V$45"}</definedName>
    <definedName name="항나" hidden="1">{"'급수관로수리계산서'!$A$1:$V$45"}</definedName>
    <definedName name="헌" localSheetId="2" hidden="1">{#N/A,#N/A,FALSE,"손익표지";#N/A,#N/A,FALSE,"손익계산";#N/A,#N/A,FALSE,"일반관리비";#N/A,#N/A,FALSE,"영업외수익";#N/A,#N/A,FALSE,"영업외비용";#N/A,#N/A,FALSE,"매출액";#N/A,#N/A,FALSE,"요약손익";#N/A,#N/A,FALSE,"요약대차";#N/A,#N/A,FALSE,"매출채권현황";#N/A,#N/A,FALSE,"매출채권명세"}</definedName>
    <definedName name="헌" hidden="1">{#N/A,#N/A,FALSE,"손익표지";#N/A,#N/A,FALSE,"손익계산";#N/A,#N/A,FALSE,"일반관리비";#N/A,#N/A,FALSE,"영업외수익";#N/A,#N/A,FALSE,"영업외비용";#N/A,#N/A,FALSE,"매출액";#N/A,#N/A,FALSE,"요약손익";#N/A,#N/A,FALSE,"요약대차";#N/A,#N/A,FALSE,"매출채권현황";#N/A,#N/A,FALSE,"매출채권명세"}</definedName>
    <definedName name="현장설명" localSheetId="11" hidden="1">{#N/A,#N/A,FALSE,"증감대비표";#N/A,#N/A,FALSE,"결의서";#N/A,#N/A,FALSE,"내역서";#N/A,#N/A,FALSE,"도급예상"}</definedName>
    <definedName name="현장설명" hidden="1">{#N/A,#N/A,FALSE,"증감대비표";#N/A,#N/A,FALSE,"결의서";#N/A,#N/A,FALSE,"내역서";#N/A,#N/A,FALSE,"도급예상"}</definedName>
    <definedName name="현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주" hidden="1">{#N/A,#N/A,FALSE,"손익표지";#N/A,#N/A,FALSE,"손익계산";#N/A,#N/A,FALSE,"일반관리비";#N/A,#N/A,FALSE,"영업외수익";#N/A,#N/A,FALSE,"영업외비용";#N/A,#N/A,FALSE,"매출액";#N/A,#N/A,FALSE,"요약손익";#N/A,#N/A,FALSE,"요약대차";#N/A,#N/A,FALSE,"매출채권현황";#N/A,#N/A,FALSE,"매출채권명세"}</definedName>
    <definedName name="협력"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안공" localSheetId="11" hidden="1">{#N/A,#N/A,FALSE,"신청통보";#N/A,#N/A,FALSE,"기성확인서";#N/A,#N/A,FALSE,"기성내역서"}</definedName>
    <definedName name="호안공" hidden="1">{#N/A,#N/A,FALSE,"신청통보";#N/A,#N/A,FALSE,"기성확인서";#N/A,#N/A,FALSE,"기성내역서"}</definedName>
    <definedName name="호우" localSheetId="11" hidden="1">{#N/A,#N/A,FALSE,"표지목차"}</definedName>
    <definedName name="호우" hidden="1">{#N/A,#N/A,FALSE,"표지목차"}</definedName>
    <definedName name="호우ㅗ" localSheetId="11" hidden="1">{#N/A,#N/A,FALSE,"단가표지"}</definedName>
    <definedName name="호우ㅗ" hidden="1">{#N/A,#N/A,FALSE,"단가표지"}</definedName>
    <definedName name="호표" localSheetId="2" hidden="1">{"'제10장(표)'!$A$5:$L$10"}</definedName>
    <definedName name="호표" hidden="1">{"'제10장(표)'!$A$5:$L$10"}</definedName>
    <definedName name="호표자" localSheetId="2" hidden="1">{"'관경확장'!$A$79:$M$98","'관경확장'!$A$54:$M$78"}</definedName>
    <definedName name="호표자" hidden="1">{"'관경확장'!$A$79:$M$98","'관경확장'!$A$54:$M$78"}</definedName>
    <definedName name="호ㅓㅎ" localSheetId="11" hidden="1">{#N/A,#N/A,FALSE,"표지목차"}</definedName>
    <definedName name="호ㅓㅎ" hidden="1">{#N/A,#N/A,FALSE,"표지목차"}</definedName>
    <definedName name="호ㅓㅕㅏ6ㅅ서ㅛㅓ" localSheetId="11" hidden="1">#REF!</definedName>
    <definedName name="호ㅓㅕㅏ6ㅅ서ㅛㅓ" localSheetId="9" hidden="1">#REF!</definedName>
    <definedName name="호ㅓㅕㅏ6ㅅ서ㅛㅓ" hidden="1">#REF!</definedName>
    <definedName name="호ㅠ포" localSheetId="2" hidden="1">{#N/A,#N/A,FALSE,"표지목차"}</definedName>
    <definedName name="호ㅠ포" hidden="1">{#N/A,#N/A,FALSE,"표지목차"}</definedName>
    <definedName name="혼ㄹ" localSheetId="11" hidden="1">{#N/A,#N/A,FALSE,"운반시간"}</definedName>
    <definedName name="혼ㄹ" hidden="1">{#N/A,#N/A,FALSE,"운반시간"}</definedName>
    <definedName name="홀ㄴㄺㅅ" localSheetId="11" hidden="1">{#N/A,#N/A,FALSE,"단가표지"}</definedName>
    <definedName name="홀ㄴㄺㅅ" hidden="1">{#N/A,#N/A,FALSE,"단가표지"}</definedName>
    <definedName name="홍" localSheetId="2" hidden="1">{"'제10장(표)'!$A$5:$L$10"}</definedName>
    <definedName name="홍" hidden="1">{"'제10장(표)'!$A$5:$L$10"}</definedName>
    <definedName name="홓렁호ㅓ호" localSheetId="11" hidden="1">{#N/A,#N/A,FALSE,"단가표지"}</definedName>
    <definedName name="홓렁호ㅓ호" hidden="1">{#N/A,#N/A,FALSE,"단가표지"}</definedName>
    <definedName name="홓로" localSheetId="11" hidden="1">{#N/A,#N/A,FALSE,"단가표지"}</definedName>
    <definedName name="홓로" hidden="1">{#N/A,#N/A,FALSE,"단가표지"}</definedName>
    <definedName name="화허호ㅓ" localSheetId="11" hidden="1">{#N/A,#N/A,FALSE,"조골재"}</definedName>
    <definedName name="화허호ㅓ" hidden="1">{#N/A,#N/A,FALSE,"조골재"}</definedName>
    <definedName name="확인" localSheetId="2"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확인"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효ㅛㅛㅛㅛ" localSheetId="2" hidden="1">{#N/A,#N/A,FALSE,"조골재"}</definedName>
    <definedName name="효ㅛㅛㅛㅛ" hidden="1">{#N/A,#N/A,FALSE,"조골재"}</definedName>
    <definedName name="ㅏ" localSheetId="2" hidden="1">{#N/A,#N/A,FALSE,"골재소요량";#N/A,#N/A,FALSE,"골재소요량"}</definedName>
    <definedName name="ㅏ" hidden="1">{#N/A,#N/A,FALSE,"골재소요량";#N/A,#N/A,FALSE,"골재소요량"}</definedName>
    <definedName name="ㅏ허화" localSheetId="11" hidden="1">{#N/A,#N/A,FALSE,"골재소요량";#N/A,#N/A,FALSE,"골재소요량"}</definedName>
    <definedName name="ㅏ허화" hidden="1">{#N/A,#N/A,FALSE,"골재소요량";#N/A,#N/A,FALSE,"골재소요량"}</definedName>
    <definedName name="ㅏㅏ" localSheetId="2" hidden="1">{#N/A,#N/A,FALSE,"2~8번"}</definedName>
    <definedName name="ㅏㅏ" hidden="1">{#N/A,#N/A,FALSE,"2~8번"}</definedName>
    <definedName name="ㅏㅏㅏ" localSheetId="11" hidden="1">{#N/A,#N/A,FALSE,"전력간선"}</definedName>
    <definedName name="ㅏㅏㅏ" localSheetId="2" hidden="1">{#N/A,#N/A,FALSE,"골재소요량";#N/A,#N/A,FALSE,"골재소요량"}</definedName>
    <definedName name="ㅏㅏㅏ" hidden="1">{#N/A,#N/A,FALSE,"골재소요량";#N/A,#N/A,FALSE,"골재소요량"}</definedName>
    <definedName name="ㅏㅏㅏㅏㅏ" localSheetId="2" hidden="1">{#N/A,#N/A,FALSE,"단가표지"}</definedName>
    <definedName name="ㅏㅏㅏㅏㅏ" hidden="1">{#N/A,#N/A,FALSE,"단가표지"}</definedName>
    <definedName name="ㅏㅏㅏㅏㅏㅏㅏ" localSheetId="2" hidden="1">{#N/A,#N/A,FALSE,"운반시간"}</definedName>
    <definedName name="ㅏㅏㅏㅏㅏㅏㅏ" hidden="1">{#N/A,#N/A,FALSE,"운반시간"}</definedName>
    <definedName name="ㅏㅏㅏㅏㅏㅏㅏㅏㅏㅏㅏㅏㅏㅏㅏㅏㅏㅏㅏㅏㅏㅏㅏㅏㅏㅏㅏ" localSheetId="2" hidden="1">{#N/A,#N/A,FALSE,"단가표지"}</definedName>
    <definedName name="ㅏㅏㅏㅏㅏㅏㅏㅏㅏㅏㅏㅏㅏㅏㅏㅏㅏㅏㅏㅏㅏㅏㅏㅏㅏㅏㅏ" hidden="1">{#N/A,#N/A,FALSE,"단가표지"}</definedName>
    <definedName name="ㅏㅓ화호" localSheetId="11" hidden="1">{#N/A,#N/A,FALSE,"단가표지"}</definedName>
    <definedName name="ㅏㅓ화호" hidden="1">{#N/A,#N/A,FALSE,"단가표지"}</definedName>
    <definedName name="ㅏㅓㅗ라" localSheetId="11" hidden="1">{#N/A,#N/A,FALSE,"골재소요량";#N/A,#N/A,FALSE,"골재소요량"}</definedName>
    <definedName name="ㅏㅓㅗ라" hidden="1">{#N/A,#N/A,FALSE,"골재소요량";#N/A,#N/A,FALSE,"골재소요량"}</definedName>
    <definedName name="ㅏㅓㅗㅎ" localSheetId="11" hidden="1">{#N/A,#N/A,FALSE,"운반시간"}</definedName>
    <definedName name="ㅏㅓㅗㅎ" hidden="1">{#N/A,#N/A,FALSE,"운반시간"}</definedName>
    <definedName name="ㅏㅓㅗㅓ" localSheetId="11" hidden="1">{#N/A,#N/A,FALSE,"운반시간"}</definedName>
    <definedName name="ㅏㅓㅗㅓ" hidden="1">{#N/A,#N/A,FALSE,"운반시간"}</definedName>
    <definedName name="ㅏㅓㅘ허호" localSheetId="11" hidden="1">{#N/A,#N/A,FALSE,"단가표지"}</definedName>
    <definedName name="ㅏㅓㅘ허호" hidden="1">{#N/A,#N/A,FALSE,"단가표지"}</definedName>
    <definedName name="ㅏㅗㅇ" localSheetId="11" hidden="1">{#N/A,#N/A,FALSE,"현장 NCR 분석";#N/A,#N/A,FALSE,"현장품질감사";#N/A,#N/A,FALSE,"현장품질감사"}</definedName>
    <definedName name="ㅏㅗㅇ" hidden="1">{#N/A,#N/A,FALSE,"현장 NCR 분석";#N/A,#N/A,FALSE,"현장품질감사";#N/A,#N/A,FALSE,"현장품질감사"}</definedName>
    <definedName name="ㅏㅗㅓㅏ화호" localSheetId="11" hidden="1">{#N/A,#N/A,FALSE,"표지목차"}</definedName>
    <definedName name="ㅏㅗㅓㅏ화호" hidden="1">{#N/A,#N/A,FALSE,"표지목차"}</definedName>
    <definedName name="ㅏㅣ" localSheetId="11" hidden="1">{#N/A,#N/A,FALSE,"단가표지"}</definedName>
    <definedName name="ㅏㅣ" hidden="1">{#N/A,#N/A,FALSE,"단가표지"}</definedName>
    <definedName name="ㅑ" localSheetId="11" hidden="1">{#N/A,#N/A,FALSE,"조골재"}</definedName>
    <definedName name="ㅑ" hidden="1">{#N/A,#N/A,FALSE,"조골재"}</definedName>
    <definedName name="ㅑㅑㅑ" localSheetId="11" hidden="1">{"'용역비'!$A$4:$C$8"}</definedName>
    <definedName name="ㅑㅑㅑ" hidden="1">{"'용역비'!$A$4:$C$8"}</definedName>
    <definedName name="ㅑㅑㅑㅑㅑㅑ" localSheetId="11" hidden="1">{"'용역비'!$A$4:$C$8"}</definedName>
    <definedName name="ㅑㅑㅑㅑㅑㅑ" hidden="1">{"'용역비'!$A$4:$C$8"}</definedName>
    <definedName name="ㅑㅕ사" localSheetId="2" hidden="1">{#N/A,#N/A,FALSE,"혼합골재"}</definedName>
    <definedName name="ㅑㅕ사" hidden="1">{#N/A,#N/A,FALSE,"혼합골재"}</definedName>
    <definedName name="ㅑㅕㅕ" localSheetId="11" hidden="1">{"'용역비'!$A$4:$C$8"}</definedName>
    <definedName name="ㅑㅕㅕ" hidden="1">{"'용역비'!$A$4:$C$8"}</definedName>
    <definedName name="ㅑㅣㅕㅕㅣㅏㅎ" localSheetId="2" hidden="1">{#N/A,#N/A,FALSE,"골재소요량";#N/A,#N/A,FALSE,"골재소요량"}</definedName>
    <definedName name="ㅑㅣㅕㅕㅣㅏㅎ" hidden="1">{#N/A,#N/A,FALSE,"골재소요량";#N/A,#N/A,FALSE,"골재소요량"}</definedName>
    <definedName name="ㅓ" localSheetId="2" hidden="1">{#N/A,#N/A,FALSE,"표지목차"}</definedName>
    <definedName name="ㅓ" hidden="1">{#N/A,#N/A,FALSE,"표지목차"}</definedName>
    <definedName name="ㅓ7" localSheetId="11" hidden="1">{#N/A,#N/A,FALSE,"단가표지"}</definedName>
    <definedName name="ㅓ7" hidden="1">{#N/A,#N/A,FALSE,"단가표지"}</definedName>
    <definedName name="ㅓㄴㄱ" localSheetId="11" hidden="1">#REF!</definedName>
    <definedName name="ㅓㄴㄱ" localSheetId="9" hidden="1">#REF!</definedName>
    <definedName name="ㅓㄴㄱ" hidden="1">#REF!</definedName>
    <definedName name="ㅓ롤" localSheetId="11" hidden="1">{#N/A,#N/A,FALSE,"골재소요량";#N/A,#N/A,FALSE,"골재소요량"}</definedName>
    <definedName name="ㅓ롤" hidden="1">{#N/A,#N/A,FALSE,"골재소요량";#N/A,#N/A,FALSE,"골재소요량"}</definedName>
    <definedName name="ㅓㅇㄴ" localSheetId="11" hidden="1">{#N/A,#N/A,FALSE,"단가표지"}</definedName>
    <definedName name="ㅓㅇㄴ" hidden="1">{#N/A,#N/A,FALSE,"단가표지"}</definedName>
    <definedName name="ㅓㅇ호ㅓㅇ호ㅓㅇ허" localSheetId="11" hidden="1">{#N/A,#N/A,FALSE,"표지목차"}</definedName>
    <definedName name="ㅓㅇ호ㅓㅇ호ㅓㅇ허" hidden="1">{#N/A,#N/A,FALSE,"표지목차"}</definedName>
    <definedName name="ㅓㅎ렁홍" localSheetId="11" hidden="1">{#N/A,#N/A,FALSE,"혼합골재"}</definedName>
    <definedName name="ㅓㅎ렁홍" hidden="1">{#N/A,#N/A,FALSE,"혼합골재"}</definedName>
    <definedName name="ㅓㅎ로ㅗㄴ" localSheetId="11" hidden="1">{#N/A,#N/A,FALSE,"단가표지"}</definedName>
    <definedName name="ㅓㅎ로ㅗㄴ" hidden="1">{#N/A,#N/A,FALSE,"단가표지"}</definedName>
    <definedName name="ㅓㅎㅇㅎ" localSheetId="11" hidden="1">{#N/A,#N/A,FALSE,"운반시간"}</definedName>
    <definedName name="ㅓㅎㅇㅎ" hidden="1">{#N/A,#N/A,FALSE,"운반시간"}</definedName>
    <definedName name="ㅓ호ㅓ" localSheetId="11" hidden="1">{#N/A,#N/A,FALSE,"표지목차"}</definedName>
    <definedName name="ㅓ호ㅓ" hidden="1">{#N/A,#N/A,FALSE,"표지목차"}</definedName>
    <definedName name="ㅓ호ㅓㅗㄹ" localSheetId="11" hidden="1">{#N/A,#N/A,FALSE,"단가표지"}</definedName>
    <definedName name="ㅓ호ㅓㅗㄹ" hidden="1">{#N/A,#N/A,FALSE,"단가표지"}</definedName>
    <definedName name="ㅓㅏ" localSheetId="2" hidden="1">{#N/A,#N/A,FALSE,"표지목차"}</definedName>
    <definedName name="ㅓㅏ" hidden="1">{#N/A,#N/A,FALSE,"표지목차"}</definedName>
    <definedName name="ㅓㅏ호" localSheetId="11" hidden="1">{#N/A,#N/A,FALSE,"단가표지"}</definedName>
    <definedName name="ㅓㅏ호" hidden="1">{#N/A,#N/A,FALSE,"단가표지"}</definedName>
    <definedName name="ㅓㅏ호ㅓ" localSheetId="11" hidden="1">{#N/A,#N/A,FALSE,"단가표지"}</definedName>
    <definedName name="ㅓㅏ호ㅓ" hidden="1">{#N/A,#N/A,FALSE,"단가표지"}</definedName>
    <definedName name="ㅓㅏㅓㅎ" localSheetId="2" hidden="1">{#N/A,#N/A,FALSE,"단가표지"}</definedName>
    <definedName name="ㅓㅏㅓㅎ" hidden="1">{#N/A,#N/A,FALSE,"단가표지"}</definedName>
    <definedName name="ㅓㅏㅗ하ㅗㅓㅎ" localSheetId="11" hidden="1">{#N/A,#N/A,FALSE,"혼합골재"}</definedName>
    <definedName name="ㅓㅏㅗ하ㅗㅓㅎ" hidden="1">{#N/A,#N/A,FALSE,"혼합골재"}</definedName>
    <definedName name="ㅓㅓㅓㅓㅓㅓㅓㅓㅓㅓㅓ" localSheetId="2" hidden="1">{#N/A,#N/A,FALSE,"골재소요량";#N/A,#N/A,FALSE,"골재소요량"}</definedName>
    <definedName name="ㅓㅓㅓㅓㅓㅓㅓㅓㅓㅓㅓ" hidden="1">{#N/A,#N/A,FALSE,"골재소요량";#N/A,#N/A,FALSE,"골재소요량"}</definedName>
    <definedName name="ㅓㅕ" localSheetId="2" hidden="1">{#N/A,#N/A,FALSE,"조골재"}</definedName>
    <definedName name="ㅓㅕ" hidden="1">{#N/A,#N/A,FALSE,"조골재"}</definedName>
    <definedName name="ㅓㅗ" localSheetId="11" hidden="1">{#N/A,#N/A,FALSE,"운반시간"}</definedName>
    <definedName name="ㅓㅗ" hidden="1">{#N/A,#N/A,FALSE,"운반시간"}</definedName>
    <definedName name="ㅓㅗㅎㄹ" localSheetId="11" hidden="1">{#N/A,#N/A,FALSE,"조골재"}</definedName>
    <definedName name="ㅓㅗㅎㄹ" hidden="1">{#N/A,#N/A,FALSE,"조골재"}</definedName>
    <definedName name="ㅓㅗㅎ러ㅗㅎ러" localSheetId="11" hidden="1">{#N/A,#N/A,FALSE,"혼합골재"}</definedName>
    <definedName name="ㅓㅗㅎ러ㅗㅎ러" hidden="1">{#N/A,#N/A,FALSE,"혼합골재"}</definedName>
    <definedName name="ㅓㅗㅎ러ㅗ호ㅓ" localSheetId="11" hidden="1">{#N/A,#N/A,FALSE,"단가표지"}</definedName>
    <definedName name="ㅓㅗㅎ러ㅗ호ㅓ" hidden="1">{#N/A,#N/A,FALSE,"단가표지"}</definedName>
    <definedName name="ㅓㅗ허" localSheetId="11" hidden="1">{#N/A,#N/A,FALSE,"조골재"}</definedName>
    <definedName name="ㅓㅗ허" hidden="1">{#N/A,#N/A,FALSE,"조골재"}</definedName>
    <definedName name="ㅓㅗ허ㅗㄹ" localSheetId="11" hidden="1">{#N/A,#N/A,FALSE,"운반시간"}</definedName>
    <definedName name="ㅓㅗ허ㅗㄹ" hidden="1">{#N/A,#N/A,FALSE,"운반시간"}</definedName>
    <definedName name="ㅓㅗ허ㅗㅎㄹ" localSheetId="11" hidden="1">{#N/A,#N/A,FALSE,"골재소요량";#N/A,#N/A,FALSE,"골재소요량"}</definedName>
    <definedName name="ㅓㅗ허ㅗㅎㄹ" hidden="1">{#N/A,#N/A,FALSE,"골재소요량";#N/A,#N/A,FALSE,"골재소요량"}</definedName>
    <definedName name="ㅓㅗ허ㅗㅎ러" localSheetId="11" hidden="1">{#N/A,#N/A,FALSE,"운반시간"}</definedName>
    <definedName name="ㅓㅗ허ㅗㅎ러" hidden="1">{#N/A,#N/A,FALSE,"운반시간"}</definedName>
    <definedName name="ㅓㅗ헝홍허" localSheetId="11" hidden="1">{#N/A,#N/A,FALSE,"골재소요량";#N/A,#N/A,FALSE,"골재소요량"}</definedName>
    <definedName name="ㅓㅗ헝홍허" hidden="1">{#N/A,#N/A,FALSE,"골재소요량";#N/A,#N/A,FALSE,"골재소요량"}</definedName>
    <definedName name="ㅓㅗ헣ㄹ" localSheetId="11" hidden="1">{#N/A,#N/A,FALSE,"단가표지"}</definedName>
    <definedName name="ㅓㅗ헣ㄹ" hidden="1">{#N/A,#N/A,FALSE,"단가표지"}</definedName>
    <definedName name="ㅓㅗ헣러" localSheetId="11" hidden="1">{#N/A,#N/A,FALSE,"단가표지"}</definedName>
    <definedName name="ㅓㅗ헣러" hidden="1">{#N/A,#N/A,FALSE,"단가표지"}</definedName>
    <definedName name="ㅓㅗ헣로ㅓ" localSheetId="11" hidden="1">{#N/A,#N/A,FALSE,"조골재"}</definedName>
    <definedName name="ㅓㅗ헣로ㅓ" hidden="1">{#N/A,#N/A,FALSE,"조골재"}</definedName>
    <definedName name="ㅓㅗ헣호ㅓ" localSheetId="11" hidden="1">{#N/A,#N/A,FALSE,"조골재"}</definedName>
    <definedName name="ㅓㅗ헣호ㅓ" hidden="1">{#N/A,#N/A,FALSE,"조골재"}</definedName>
    <definedName name="ㅓㅗ호" localSheetId="11" hidden="1">{#N/A,#N/A,FALSE,"단가표지"}</definedName>
    <definedName name="ㅓㅗ호" hidden="1">{#N/A,#N/A,FALSE,"단가표지"}</definedName>
    <definedName name="ㅓㅗ호ㅓㅗ" localSheetId="11" hidden="1">{#N/A,#N/A,FALSE,"2~8번"}</definedName>
    <definedName name="ㅓㅗ호ㅓㅗ" hidden="1">{#N/A,#N/A,FALSE,"2~8번"}</definedName>
    <definedName name="ㅓㅗㅗ" localSheetId="11" hidden="1">{#N/A,#N/A,FALSE,"단가표지"}</definedName>
    <definedName name="ㅓㅗㅗ" hidden="1">{#N/A,#N/A,FALSE,"단가표지"}</definedName>
    <definedName name="ㅓㅗㅗㅗ" localSheetId="11" hidden="1">{#N/A,#N/A,FALSE,"골재소요량";#N/A,#N/A,FALSE,"골재소요량"}</definedName>
    <definedName name="ㅓㅗㅗㅗ" hidden="1">{#N/A,#N/A,FALSE,"골재소요량";#N/A,#N/A,FALSE,"골재소요량"}</definedName>
    <definedName name="ㅓㅛ" localSheetId="11" hidden="1">{#N/A,#N/A,FALSE,"토공2"}</definedName>
    <definedName name="ㅓㅛ" hidden="1">{#N/A,#N/A,FALSE,"토공2"}</definedName>
    <definedName name="ㅔㅔ" localSheetId="11" hidden="1">#REF!</definedName>
    <definedName name="ㅔㅔ" localSheetId="9" hidden="1">#REF!</definedName>
    <definedName name="ㅔㅔ" hidden="1">#REF!</definedName>
    <definedName name="ㅔㅣ" localSheetId="11" hidden="1">{"'용역비'!$A$4:$C$8"}</definedName>
    <definedName name="ㅔㅣ" hidden="1">{"'용역비'!$A$4:$C$8"}</definedName>
    <definedName name="ㅕ" localSheetId="2" hidden="1">{#N/A,#N/A,FALSE,"혼합골재"}</definedName>
    <definedName name="ㅕ" hidden="1">{#N/A,#N/A,FALSE,"혼합골재"}</definedName>
    <definedName name="ㅕㅑ" localSheetId="2" hidden="1">{#N/A,#N/A,FALSE,"2~8번"}</definedName>
    <definedName name="ㅕㅑ" hidden="1">{#N/A,#N/A,FALSE,"2~8번"}</definedName>
    <definedName name="ㅕㅑㅑㅑ" localSheetId="2" hidden="1">{#N/A,#N/A,FALSE,"조골재"}</definedName>
    <definedName name="ㅕㅑㅑㅑ" hidden="1">{#N/A,#N/A,FALSE,"조골재"}</definedName>
    <definedName name="ㅕㅕ" localSheetId="2" hidden="1">{#N/A,#N/A,FALSE,"표지목차"}</definedName>
    <definedName name="ㅕㅕ" hidden="1">{#N/A,#N/A,FALSE,"표지목차"}</definedName>
    <definedName name="ㅕㅕㅕ" localSheetId="2" hidden="1">{#N/A,#N/A,FALSE,"혼합골재"}</definedName>
    <definedName name="ㅕㅕㅕ" hidden="1">{#N/A,#N/A,FALSE,"혼합골재"}</definedName>
    <definedName name="ㅕㅕㅕㅕ" localSheetId="2" hidden="1">{#N/A,#N/A,FALSE,"표지목차"}</definedName>
    <definedName name="ㅕㅕㅕㅕ" hidden="1">{#N/A,#N/A,FALSE,"표지목차"}</definedName>
    <definedName name="ㅕㅕㅕㅕㅕ" localSheetId="2" hidden="1">{#N/A,#N/A,FALSE,"운반시간"}</definedName>
    <definedName name="ㅕㅕㅕㅕㅕ" hidden="1">{#N/A,#N/A,FALSE,"운반시간"}</definedName>
    <definedName name="ㅕㅕㅕㅕㅕㅕ" localSheetId="2" hidden="1">{#N/A,#N/A,FALSE,"단가표지"}</definedName>
    <definedName name="ㅕㅕㅕㅕㅕㅕ" hidden="1">{#N/A,#N/A,FALSE,"단가표지"}</definedName>
    <definedName name="ㅕㅕㅕㅕㅕㅕㅕㅕ" localSheetId="2" hidden="1">{#N/A,#N/A,FALSE,"조골재"}</definedName>
    <definedName name="ㅕㅕㅕㅕㅕㅕㅕㅕ" hidden="1">{#N/A,#N/A,FALSE,"조골재"}</definedName>
    <definedName name="ㅗ" localSheetId="2" hidden="1">{#N/A,#N/A,FALSE,"조골재"}</definedName>
    <definedName name="ㅗ" hidden="1">{#N/A,#N/A,FALSE,"조골재"}</definedName>
    <definedName name="ㅗㄹㄶ" localSheetId="11" hidden="1">{#N/A,#N/A,FALSE,"조골재"}</definedName>
    <definedName name="ㅗㄹㄶ" hidden="1">{#N/A,#N/A,FALSE,"조골재"}</definedName>
    <definedName name="ㅗㅍ초" localSheetId="2" hidden="1">{#N/A,#N/A,FALSE,"2~8번"}</definedName>
    <definedName name="ㅗㅍ초" hidden="1">{#N/A,#N/A,FALSE,"2~8번"}</definedName>
    <definedName name="ㅗㅎ" localSheetId="11" hidden="1">{#N/A,#N/A,FALSE,"운반시간"}</definedName>
    <definedName name="ㅗㅎ" hidden="1">{#N/A,#N/A,FALSE,"운반시간"}</definedName>
    <definedName name="ㅗㅎㄴ" localSheetId="11" hidden="1">{#N/A,#N/A,FALSE,"골재소요량";#N/A,#N/A,FALSE,"골재소요량"}</definedName>
    <definedName name="ㅗㅎㄴ" hidden="1">{#N/A,#N/A,FALSE,"골재소요량";#N/A,#N/A,FALSE,"골재소요량"}</definedName>
    <definedName name="ㅗㅎㄴㄹ" localSheetId="11" hidden="1">{#N/A,#N/A,FALSE,"단가표지"}</definedName>
    <definedName name="ㅗㅎㄴㄹ" hidden="1">{#N/A,#N/A,FALSE,"단가표지"}</definedName>
    <definedName name="ㅗㅎ로ㅜ" localSheetId="11" hidden="1">{#N/A,#N/A,FALSE,"운반시간"}</definedName>
    <definedName name="ㅗㅎ로ㅜ" hidden="1">{#N/A,#N/A,FALSE,"운반시간"}</definedName>
    <definedName name="ㅗㅎ론ㄹ" localSheetId="11" hidden="1">{#N/A,#N/A,FALSE,"표지목차"}</definedName>
    <definedName name="ㅗㅎ론ㄹ" hidden="1">{#N/A,#N/A,FALSE,"표지목차"}</definedName>
    <definedName name="ㅗㅎ롯홋ㄱ" localSheetId="11" hidden="1">{#N/A,#N/A,FALSE,"혼합골재"}</definedName>
    <definedName name="ㅗㅎ롯홋ㄱ" hidden="1">{#N/A,#N/A,FALSE,"혼합골재"}</definedName>
    <definedName name="ㅗㅎㅎㅌㄹㅋㅅ" localSheetId="2" hidden="1">{#N/A,#N/A,FALSE,"2~8번"}</definedName>
    <definedName name="ㅗㅎㅎㅌㄹㅋㅅ" hidden="1">{#N/A,#N/A,FALSE,"2~8번"}</definedName>
    <definedName name="ㅗ허ㅗ" localSheetId="11" hidden="1">{#N/A,#N/A,FALSE,"단가표지"}</definedName>
    <definedName name="ㅗ허ㅗ" hidden="1">{#N/A,#N/A,FALSE,"단가표지"}</definedName>
    <definedName name="ㅗ호" localSheetId="11" hidden="1">{#N/A,#N/A,FALSE,"단가표지"}</definedName>
    <definedName name="ㅗ호" hidden="1">{#N/A,#N/A,FALSE,"단가표지"}</definedName>
    <definedName name="ㅗㅓ쇼ㅓㅕㄷ쇼ㅓㅕㄷㅅ" localSheetId="11" hidden="1">{#N/A,#N/A,FALSE,"단가표지"}</definedName>
    <definedName name="ㅗㅓ쇼ㅓㅕㄷ쇼ㅓㅕㄷㅅ" hidden="1">{#N/A,#N/A,FALSE,"단가표지"}</definedName>
    <definedName name="ㅗㅓㅎ로ㅓㅎㄹ" localSheetId="11" hidden="1">{#N/A,#N/A,FALSE,"표지목차"}</definedName>
    <definedName name="ㅗㅓㅎ로ㅓㅎㄹ" hidden="1">{#N/A,#N/A,FALSE,"표지목차"}</definedName>
    <definedName name="ㅗㅗㅗ" localSheetId="11" hidden="1">{#N/A,#N/A,FALSE,"전력간선"}</definedName>
    <definedName name="ㅗㅗㅗ" hidden="1">{#N/A,#N/A,FALSE,"전력간선"}</definedName>
    <definedName name="ㅗㅗㅗㅗㅗㅗ" localSheetId="2" hidden="1">{#N/A,#N/A,FALSE,"2~8번"}</definedName>
    <definedName name="ㅗㅗㅗㅗㅗㅗ" hidden="1">{#N/A,#N/A,FALSE,"2~8번"}</definedName>
    <definedName name="ㅗㅠㅍ" localSheetId="11" hidden="1">{#N/A,#N/A,FALSE,"혼합골재"}</definedName>
    <definedName name="ㅗㅠㅍ" hidden="1">{#N/A,#N/A,FALSE,"혼합골재"}</definedName>
    <definedName name="ㅛ" localSheetId="11" hidden="1">{"'용역비'!$A$4:$C$8"}</definedName>
    <definedName name="ㅛ" localSheetId="2" hidden="1">{#N/A,#N/A,FALSE,"혼합골재"}</definedName>
    <definedName name="ㅛ" hidden="1">{#N/A,#N/A,FALSE,"혼합골재"}</definedName>
    <definedName name="ㅛ셔됴ㅕ" localSheetId="2" hidden="1">{#N/A,#N/A,FALSE,"운반시간"}</definedName>
    <definedName name="ㅛ셔됴ㅕ" hidden="1">{#N/A,#N/A,FALSE,"운반시간"}</definedName>
    <definedName name="ㅛ셔으ㅜㅅ구" localSheetId="2" hidden="1">{#N/A,#N/A,FALSE,"2~8번"}</definedName>
    <definedName name="ㅛ셔으ㅜㅅ구" hidden="1">{#N/A,#N/A,FALSE,"2~8번"}</definedName>
    <definedName name="ㅛㅇ수ㅜㅛㅅㅇ" localSheetId="2" hidden="1">{#N/A,#N/A,FALSE,"2~8번"}</definedName>
    <definedName name="ㅛㅇ수ㅜㅛㅅㅇ" hidden="1">{#N/A,#N/A,FALSE,"2~8번"}</definedName>
    <definedName name="ㅛㅓㄴㄱ5" localSheetId="2" hidden="1">{#N/A,#N/A,FALSE,"단가표지"}</definedName>
    <definedName name="ㅛㅓㄴㄱ5" hidden="1">{#N/A,#N/A,FALSE,"단가표지"}</definedName>
    <definedName name="ㅛㅕ하ㅓ" localSheetId="11" hidden="1">{#N/A,#N/A,FALSE,"포장2"}</definedName>
    <definedName name="ㅛㅕ하ㅓ" hidden="1">{#N/A,#N/A,FALSE,"포장2"}</definedName>
    <definedName name="ㅛㅕㅕㅑㅓ" localSheetId="2" hidden="1">{#N/A,#N/A,FALSE,"표지목차"}</definedName>
    <definedName name="ㅛㅕㅕㅑㅓ" hidden="1">{#N/A,#N/A,FALSE,"표지목차"}</definedName>
    <definedName name="ㅛㅛ" localSheetId="11" hidden="1">{"'용역비'!$A$4:$C$8"}</definedName>
    <definedName name="ㅛㅛ" localSheetId="2" hidden="1">{#N/A,#N/A,FALSE,"골재소요량";#N/A,#N/A,FALSE,"골재소요량"}</definedName>
    <definedName name="ㅛㅛ" hidden="1">{#N/A,#N/A,FALSE,"골재소요량";#N/A,#N/A,FALSE,"골재소요량"}</definedName>
    <definedName name="ㅛㅛㅛ" hidden="1">#REF!</definedName>
    <definedName name="ㅛㅛㅛㅛ" localSheetId="2" hidden="1">{#N/A,#N/A,FALSE,"표지목차"}</definedName>
    <definedName name="ㅛㅛㅛㅛ" hidden="1">{#N/A,#N/A,FALSE,"표지목차"}</definedName>
    <definedName name="ㅛㅛㅛㅛㅛㅛ" localSheetId="2" hidden="1">{#N/A,#N/A,FALSE,"골재소요량";#N/A,#N/A,FALSE,"골재소요량"}</definedName>
    <definedName name="ㅛㅛㅛㅛㅛㅛ" hidden="1">{#N/A,#N/A,FALSE,"골재소요량";#N/A,#N/A,FALSE,"골재소요량"}</definedName>
    <definedName name="ㅛㅛㅛㅛㅛㅛㅛ" localSheetId="2" hidden="1">{#N/A,#N/A,FALSE,"단가표지"}</definedName>
    <definedName name="ㅛㅛㅛㅛㅛㅛㅛ" hidden="1">{#N/A,#N/A,FALSE,"단가표지"}</definedName>
    <definedName name="ㅛㅠㅗㄱ셔ㅛ" localSheetId="2" hidden="1">{#N/A,#N/A,FALSE,"조골재"}</definedName>
    <definedName name="ㅛㅠㅗㄱ셔ㅛ" hidden="1">{#N/A,#N/A,FALSE,"조골재"}</definedName>
    <definedName name="ㅜ" localSheetId="11" hidden="1">{#N/A,#N/A,FALSE,"배수1"}</definedName>
    <definedName name="ㅜ" localSheetId="2" hidden="1">{#N/A,#N/A,FALSE,"혼합골재"}</definedName>
    <definedName name="ㅜ" hidden="1">{#N/A,#N/A,FALSE,"혼합골재"}</definedName>
    <definedName name="ㅜㄴ" localSheetId="2" hidden="1">{#N/A,#N/A,FALSE,"운반시간"}</definedName>
    <definedName name="ㅜㄴ" hidden="1">{#N/A,#N/A,FALSE,"운반시간"}</definedName>
    <definedName name="ㅜㄴㄱ" localSheetId="11" hidden="1">{#N/A,#N/A,FALSE,"운반시간"}</definedName>
    <definedName name="ㅜㄴㄱ" hidden="1">{#N/A,#N/A,FALSE,"운반시간"}</definedName>
    <definedName name="ㅜㄹ윤" localSheetId="11" hidden="1">{#N/A,#N/A,FALSE,"단가표지"}</definedName>
    <definedName name="ㅜㄹ윤" hidden="1">{#N/A,#N/A,FALSE,"단가표지"}</definedName>
    <definedName name="ㅜ여숫유" localSheetId="2" hidden="1">{#N/A,#N/A,FALSE,"운반시간"}</definedName>
    <definedName name="ㅜ여숫유" hidden="1">{#N/A,#N/A,FALSE,"운반시간"}</definedName>
    <definedName name="ㅜㅊㅍ" localSheetId="11" hidden="1">{#N/A,#N/A,FALSE,"표지목차"}</definedName>
    <definedName name="ㅜㅊㅍ" hidden="1">{#N/A,#N/A,FALSE,"표지목차"}</definedName>
    <definedName name="ㅜㅋㅊㅍ" localSheetId="11" hidden="1">{#N/A,#N/A,FALSE,"조골재"}</definedName>
    <definedName name="ㅜㅋㅊㅍ" hidden="1">{#N/A,#N/A,FALSE,"조골재"}</definedName>
    <definedName name="ㅜㅍ추ㅠ" localSheetId="11" hidden="1">{#N/A,#N/A,FALSE,"혼합골재"}</definedName>
    <definedName name="ㅜㅍ추ㅠ" hidden="1">{#N/A,#N/A,FALSE,"혼합골재"}</definedName>
    <definedName name="ㅜㅎㄴ" localSheetId="11" hidden="1">{#N/A,#N/A,FALSE,"골재소요량";#N/A,#N/A,FALSE,"골재소요량"}</definedName>
    <definedName name="ㅜㅎㄴ" hidden="1">{#N/A,#N/A,FALSE,"골재소요량";#N/A,#N/A,FALSE,"골재소요량"}</definedName>
    <definedName name="ㅜㅎㅅㄱㄴ" localSheetId="11" hidden="1">{#N/A,#N/A,FALSE,"단가표지"}</definedName>
    <definedName name="ㅜㅎㅅㄱㄴ" hidden="1">{#N/A,#N/A,FALSE,"단가표지"}</definedName>
    <definedName name="ㅜ후ㅗㅜㅗ" localSheetId="2" hidden="1">{#N/A,#N/A,FALSE,"단가표지"}</definedName>
    <definedName name="ㅜ후ㅗㅜㅗ" hidden="1">{#N/A,#N/A,FALSE,"단가표지"}</definedName>
    <definedName name="ㅜㅗ" localSheetId="11" hidden="1">{#N/A,#N/A,FALSE,"이정표"}</definedName>
    <definedName name="ㅜㅗ" hidden="1">{#N/A,#N/A,FALSE,"이정표"}</definedName>
    <definedName name="ㅜㅗㅇㅎㅌ" localSheetId="11" hidden="1">{#N/A,#N/A,FALSE,"단가표지"}</definedName>
    <definedName name="ㅜㅗㅇㅎㅌ" hidden="1">{#N/A,#N/A,FALSE,"단가표지"}</definedName>
    <definedName name="ㅜㅗㅇ훟" localSheetId="11" hidden="1">{#N/A,#N/A,FALSE,"단가표지"}</definedName>
    <definedName name="ㅜㅗㅇ훟" hidden="1">{#N/A,#N/A,FALSE,"단가표지"}</definedName>
    <definedName name="ㅜㅗㅗㅗㅇㅎ" localSheetId="11" hidden="1">{#N/A,#N/A,FALSE,"운반시간"}</definedName>
    <definedName name="ㅜㅗㅗㅗㅇㅎ" hidden="1">{#N/A,#N/A,FALSE,"운반시간"}</definedName>
    <definedName name="ㅜㅠ푸" localSheetId="11" hidden="1">{#N/A,#N/A,FALSE,"운반시간"}</definedName>
    <definedName name="ㅜㅠ푸" hidden="1">{#N/A,#N/A,FALSE,"운반시간"}</definedName>
    <definedName name="ㅜㅠㅠ" localSheetId="11" hidden="1">{#N/A,#N/A,FALSE,"골재소요량";#N/A,#N/A,FALSE,"골재소요량"}</definedName>
    <definedName name="ㅜㅠㅠ" hidden="1">{#N/A,#N/A,FALSE,"골재소요량";#N/A,#N/A,FALSE,"골재소요량"}</definedName>
    <definedName name="ㅝㅎㄹ" localSheetId="11" hidden="1">{#N/A,#N/A,FALSE,"단가표지"}</definedName>
    <definedName name="ㅝㅎㄹ" hidden="1">{#N/A,#N/A,FALSE,"단가표지"}</definedName>
    <definedName name="ㅝㅎㄹ촉ㅇ" localSheetId="2" hidden="1">{#N/A,#N/A,FALSE,"조골재"}</definedName>
    <definedName name="ㅝㅎㄹ촉ㅇ" hidden="1">{#N/A,#N/A,FALSE,"조골재"}</definedName>
    <definedName name="ㅠ" localSheetId="11" hidden="1">{#N/A,#N/A,FALSE,"부대1"}</definedName>
    <definedName name="ㅠ" localSheetId="2" hidden="1">{#N/A,#N/A,FALSE,"표지목차"}</definedName>
    <definedName name="ㅠ" hidden="1">{#N/A,#N/A,FALSE,"표지목차"}</definedName>
    <definedName name="ㅠㄱ" localSheetId="11" hidden="1">{"'용역비'!$A$4:$C$8"}</definedName>
    <definedName name="ㅠㄱ" hidden="1">{"'용역비'!$A$4:$C$8"}</definedName>
    <definedName name="ㅠㄱ소슈" localSheetId="2" hidden="1">{#N/A,#N/A,FALSE,"골재소요량";#N/A,#N/A,FALSE,"골재소요량"}</definedName>
    <definedName name="ㅠㄱ소슈" hidden="1">{#N/A,#N/A,FALSE,"골재소요량";#N/A,#N/A,FALSE,"골재소요량"}</definedName>
    <definedName name="ㅠㄴ" localSheetId="11" hidden="1">{#N/A,#N/A,FALSE,"조골재"}</definedName>
    <definedName name="ㅠㄴ" hidden="1">{#N/A,#N/A,FALSE,"조골재"}</definedName>
    <definedName name="ㅠㄹ" localSheetId="11" hidden="1">{#N/A,#N/A,FALSE,"속도"}</definedName>
    <definedName name="ㅠㄹ" hidden="1">{#N/A,#N/A,FALSE,"속도"}</definedName>
    <definedName name="ㅠㄹㅇㄴㄴㄹㅇ" localSheetId="11" hidden="1">{#N/A,#N/A,FALSE,"단가표지"}</definedName>
    <definedName name="ㅠㄹㅇㄴㄴㄹㅇ" hidden="1">{#N/A,#N/A,FALSE,"단가표지"}</definedName>
    <definedName name="ㅠㅅ롯고" localSheetId="2" hidden="1">{#N/A,#N/A,FALSE,"골재소요량";#N/A,#N/A,FALSE,"골재소요량"}</definedName>
    <definedName name="ㅠㅅ롯고" hidden="1">{#N/A,#N/A,FALSE,"골재소요량";#N/A,#N/A,FALSE,"골재소요량"}</definedName>
    <definedName name="ㅠ숑ㄱ쇼ㅠㅠㅅ" localSheetId="2" hidden="1">{#N/A,#N/A,FALSE,"단가표지"}</definedName>
    <definedName name="ㅠ숑ㄱ쇼ㅠㅠㅅ" hidden="1">{#N/A,#N/A,FALSE,"단가표지"}</definedName>
    <definedName name="ㅠㅊㅌ퓿ㅌ" localSheetId="11" hidden="1">{#N/A,#N/A,FALSE,"2~8번"}</definedName>
    <definedName name="ㅠㅊㅌ퓿ㅌ" hidden="1">{#N/A,#N/A,FALSE,"2~8번"}</definedName>
    <definedName name="ㅠㅊㅍㅌ" localSheetId="11" hidden="1">{#N/A,#N/A,FALSE,"단가표지"}</definedName>
    <definedName name="ㅠㅊㅍㅌ" hidden="1">{#N/A,#N/A,FALSE,"단가표지"}</definedName>
    <definedName name="ㅠㅊㅍ튜" localSheetId="11" hidden="1">{#N/A,#N/A,FALSE,"단가표지"}</definedName>
    <definedName name="ㅠㅊㅍ튜" hidden="1">{#N/A,#N/A,FALSE,"단가표지"}</definedName>
    <definedName name="ㅠㅊㅍ튵ㅊ" localSheetId="11" hidden="1">{#N/A,#N/A,FALSE,"운반시간"}</definedName>
    <definedName name="ㅠㅊㅍ튵ㅊ" hidden="1">{#N/A,#N/A,FALSE,"운반시간"}</definedName>
    <definedName name="ㅠㅊ픁츄" localSheetId="11" hidden="1">{#N/A,#N/A,FALSE,"단가표지"}</definedName>
    <definedName name="ㅠㅊ픁츄" hidden="1">{#N/A,#N/A,FALSE,"단가표지"}</definedName>
    <definedName name="ㅠㅍ" localSheetId="11" hidden="1">{#N/A,#N/A,FALSE,"조골재"}</definedName>
    <definedName name="ㅠㅍ" hidden="1">{#N/A,#N/A,FALSE,"조골재"}</definedName>
    <definedName name="ㅠㅍㅊ" localSheetId="11" hidden="1">{#N/A,#N/A,FALSE,"단가표지"}</definedName>
    <definedName name="ㅠㅍㅊ" hidden="1">{#N/A,#N/A,FALSE,"단가표지"}</definedName>
    <definedName name="ㅠㅍㅊ튳" localSheetId="11" hidden="1">{#N/A,#N/A,FALSE,"표지목차"}</definedName>
    <definedName name="ㅠㅍㅊ튳" hidden="1">{#N/A,#N/A,FALSE,"표지목차"}</definedName>
    <definedName name="ㅠㅍㅊ튳ㅌㅍ" localSheetId="11" hidden="1">{#N/A,#N/A,FALSE,"조골재"}</definedName>
    <definedName name="ㅠㅍㅊ튳ㅌㅍ" hidden="1">{#N/A,#N/A,FALSE,"조골재"}</definedName>
    <definedName name="ㅠㅍㅊ튵" localSheetId="11" hidden="1">{#N/A,#N/A,FALSE,"골재소요량";#N/A,#N/A,FALSE,"골재소요량"}</definedName>
    <definedName name="ㅠㅍㅊ튵" hidden="1">{#N/A,#N/A,FALSE,"골재소요량";#N/A,#N/A,FALSE,"골재소요량"}</definedName>
    <definedName name="ㅠㅍㅊ튵ㅊ" localSheetId="11" hidden="1">{#N/A,#N/A,FALSE,"단가표지"}</definedName>
    <definedName name="ㅠㅍㅊ튵ㅊ" hidden="1">{#N/A,#N/A,FALSE,"단가표지"}</definedName>
    <definedName name="ㅠㅍ츄ㅜ" localSheetId="11" hidden="1">{#N/A,#N/A,FALSE,"단가표지"}</definedName>
    <definedName name="ㅠㅍ츄ㅜ" hidden="1">{#N/A,#N/A,FALSE,"단가표지"}</definedName>
    <definedName name="ㅠㅍ츛ㅍ" localSheetId="11" hidden="1">{#N/A,#N/A,FALSE,"혼합골재"}</definedName>
    <definedName name="ㅠㅍ츛ㅍ" hidden="1">{#N/A,#N/A,FALSE,"혼합골재"}</definedName>
    <definedName name="ㅠㅍ츜ㅊ" localSheetId="11" hidden="1">{#N/A,#N/A,FALSE,"2~8번"}</definedName>
    <definedName name="ㅠㅍ츜ㅊ" hidden="1">{#N/A,#N/A,FALSE,"2~8번"}</definedName>
    <definedName name="ㅠㅍ츜ㅍ" localSheetId="11" hidden="1">{#N/A,#N/A,FALSE,"조골재"}</definedName>
    <definedName name="ㅠㅍ츜ㅍ" hidden="1">{#N/A,#N/A,FALSE,"조골재"}</definedName>
    <definedName name="ㅠㅍ츝" localSheetId="11" hidden="1">{#N/A,#N/A,FALSE,"운반시간"}</definedName>
    <definedName name="ㅠㅍ츝" hidden="1">{#N/A,#N/A,FALSE,"운반시간"}</definedName>
    <definedName name="ㅠㅍ츝ㅊ" localSheetId="11" hidden="1">{#N/A,#N/A,FALSE,"단가표지"}</definedName>
    <definedName name="ㅠㅍ츝ㅊ" hidden="1">{#N/A,#N/A,FALSE,"단가표지"}</definedName>
    <definedName name="ㅠㅍㅋㅊㅍㅍ" localSheetId="11" hidden="1">{#N/A,#N/A,FALSE,"단가표지"}</definedName>
    <definedName name="ㅠㅍㅋㅊㅍㅍ" hidden="1">{#N/A,#N/A,FALSE,"단가표지"}</definedName>
    <definedName name="ㅠ퓿큨ㅊ" localSheetId="11" hidden="1">{#N/A,#N/A,FALSE,"단가표지"}</definedName>
    <definedName name="ㅠ퓿큨ㅊ" hidden="1">{#N/A,#N/A,FALSE,"단가표지"}</definedName>
    <definedName name="ㅠ픀ㅊ" localSheetId="11" hidden="1">{#N/A,#N/A,FALSE,"단가표지"}</definedName>
    <definedName name="ㅠ픀ㅊ" hidden="1">{#N/A,#N/A,FALSE,"단가표지"}</definedName>
    <definedName name="ㅠ픀ㅊㅍ" localSheetId="11" hidden="1">{#N/A,#N/A,FALSE,"표지목차"}</definedName>
    <definedName name="ㅠ픀ㅊㅍ" hidden="1">{#N/A,#N/A,FALSE,"표지목차"}</definedName>
    <definedName name="ㅠ픀ㅋㅊㅍ" localSheetId="11" hidden="1">{#N/A,#N/A,FALSE,"운반시간"}</definedName>
    <definedName name="ㅠ픀ㅋㅊㅍ" hidden="1">{#N/A,#N/A,FALSE,"운반시간"}</definedName>
    <definedName name="ㅠㅠㅠㅠ" localSheetId="2" hidden="1">{#N/A,#N/A,FALSE,"운반시간"}</definedName>
    <definedName name="ㅠㅠㅠㅠ" hidden="1">{#N/A,#N/A,FALSE,"운반시간"}</definedName>
    <definedName name="ㅡ" localSheetId="11" hidden="1">{#N/A,#N/A,FALSE,"2~8번"}</definedName>
    <definedName name="ㅡ" localSheetId="2" hidden="1">{#N/A,#N/A,FALSE,"조골재"}</definedName>
    <definedName name="ㅡ" hidden="1">{#N/A,#N/A,FALSE,"조골재"}</definedName>
    <definedName name="ㅡㅗㅓㅓㅡㅗㅗㅓㅓㅗ" localSheetId="2" hidden="1">{#N/A,#N/A,FALSE,"운반시간"}</definedName>
    <definedName name="ㅡㅗㅓㅓㅡㅗㅗㅓㅓㅗ" hidden="1">{#N/A,#N/A,FALSE,"운반시간"}</definedName>
    <definedName name="ㅡㅡ" localSheetId="2" hidden="1">{#N/A,#N/A,FALSE,"표지목차"}</definedName>
    <definedName name="ㅡㅡ" hidden="1">{#N/A,#N/A,FALSE,"표지목차"}</definedName>
    <definedName name="ㅡㅡㅡ" localSheetId="2" hidden="1">{#N/A,#N/A,FALSE,"골재소요량";#N/A,#N/A,FALSE,"골재소요량"}</definedName>
    <definedName name="ㅡㅡㅡ" hidden="1">{#N/A,#N/A,FALSE,"골재소요량";#N/A,#N/A,FALSE,"골재소요량"}</definedName>
    <definedName name="ㅡㅡㅡㅡㅡ" localSheetId="2" hidden="1">{#N/A,#N/A,FALSE,"운반시간"}</definedName>
    <definedName name="ㅡㅡㅡㅡㅡ" hidden="1">{#N/A,#N/A,FALSE,"운반시간"}</definedName>
    <definedName name="ㅣ허ㅏㅣ하" localSheetId="11" hidden="1">{#N/A,#N/A,FALSE,"혼합골재"}</definedName>
    <definedName name="ㅣ허ㅏㅣ하" hidden="1">{#N/A,#N/A,FALSE,"혼합골재"}</definedName>
    <definedName name="ㅣ허ㅣ호ㅓㅏ" localSheetId="11" hidden="1">{#N/A,#N/A,FALSE,"조골재"}</definedName>
    <definedName name="ㅣ허ㅣ호ㅓㅏ" hidden="1">{#N/A,#N/A,FALSE,"조골재"}</definedName>
    <definedName name="ㅣㅏ허ㅏ허ㅏ허ㅏ" localSheetId="11" hidden="1">{#N/A,#N/A,FALSE,"단가표지"}</definedName>
    <definedName name="ㅣㅏ허ㅏ허ㅏ허ㅏ" hidden="1">{#N/A,#N/A,FALSE,"단가표지"}</definedName>
    <definedName name="ㅣㅏㅓㅎ" localSheetId="11" hidden="1">{#N/A,#N/A,FALSE,"단가표지"}</definedName>
    <definedName name="ㅣㅏㅓㅎ" hidden="1">{#N/A,#N/A,FALSE,"단가표지"}</definedName>
    <definedName name="ㅣㅏㅓ허ㅏㅓㅎ" localSheetId="11" hidden="1">{#N/A,#N/A,FALSE,"표지목차"}</definedName>
    <definedName name="ㅣㅏㅓ허ㅏㅓㅎ" hidden="1">{#N/A,#N/A,FALSE,"표지목차"}</definedName>
    <definedName name="ㅣㅏㅓㅣ허ㅏㅎ" localSheetId="11" hidden="1">{#N/A,#N/A,FALSE,"골재소요량";#N/A,#N/A,FALSE,"골재소요량"}</definedName>
    <definedName name="ㅣㅏㅓㅣ허ㅏㅎ" hidden="1">{#N/A,#N/A,FALSE,"골재소요량";#N/A,#N/A,FALSE,"골재소요량"}</definedName>
    <definedName name="ㅣㅏㅓㅣ허ㅏㅏ허" localSheetId="11" hidden="1">{#N/A,#N/A,FALSE,"조골재"}</definedName>
    <definedName name="ㅣㅏㅓㅣ허ㅏㅏ허" hidden="1">{#N/A,#N/A,FALSE,"조골재"}</definedName>
    <definedName name="ㅣㅓㅏ허" localSheetId="11" hidden="1">{#N/A,#N/A,FALSE,"운반시간"}</definedName>
    <definedName name="ㅣㅓㅏ허" hidden="1">{#N/A,#N/A,FALSE,"운반시간"}</definedName>
    <definedName name="ㅣㅓㅏ허ㅏㅣ허ㅏㅓ" localSheetId="11" hidden="1">{#N/A,#N/A,FALSE,"운반시간"}</definedName>
    <definedName name="ㅣㅓㅏ허ㅏㅣ허ㅏㅓ" hidden="1">{#N/A,#N/A,FALSE,"운반시간"}</definedName>
    <definedName name="ㅣㅚㅓㅏ" localSheetId="11" hidden="1">{#N/A,#N/A,FALSE,"단가표지"}</definedName>
    <definedName name="ㅣㅚㅓㅏ" hidden="1">{#N/A,#N/A,FALSE,"단가표지"}</definedName>
    <definedName name="ㅣㅣㅣ" localSheetId="11" hidden="1">#REF!</definedName>
    <definedName name="ㅣㅣㅣ" localSheetId="2" hidden="1">{#N/A,#N/A,FALSE,"조골재"}</definedName>
    <definedName name="ㅣㅣㅣ" hidden="1">{#N/A,#N/A,FALSE,"조골재"}</definedName>
    <definedName name="ㅣㅣㅣㅣ" localSheetId="11" hidden="1">#REF!</definedName>
    <definedName name="ㅣㅣㅣㅣ" hidden="1">#REF!</definedName>
    <definedName name="ㅣㅣㅣㅣㅣ" localSheetId="11" hidden="1">#REF!</definedName>
    <definedName name="ㅣㅣㅣㅣㅣ" hidden="1">#REF!</definedName>
    <definedName name="ㅣㅣㅣㅣㅣㅣ" hidden="1">#REF!</definedName>
    <definedName name="ㅣㅣㅣㅣㅣㅣㅣ" localSheetId="11" hidden="1">{#N/A,#N/A,FALSE,"전력간선"}</definedName>
    <definedName name="ㅣㅣㅣㅣㅣㅣㅣ" hidden="1">{#N/A,#N/A,FALSE,"전력간선"}</definedName>
    <definedName name="ㅣㅣㅣㅣㅣㅣㅣㅣㅣㅣㅣㅣ" localSheetId="11" hidden="1">{#N/A,#N/A,FALSE,"전력간선"}</definedName>
    <definedName name="ㅣㅣㅣㅣㅣㅣㅣㅣㅣㅣㅣㅣ"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9" i="5" l="1"/>
  <c r="V6" i="9"/>
  <c r="N7" i="15"/>
  <c r="F12" i="15"/>
  <c r="T24" i="9"/>
  <c r="N6" i="15"/>
  <c r="X29" i="13" s="1"/>
  <c r="N8" i="15" l="1"/>
  <c r="F6" i="15" s="1"/>
  <c r="B4" i="13" s="1"/>
  <c r="N13" i="15"/>
  <c r="J8" i="15" s="1"/>
  <c r="P28" i="14" l="1"/>
  <c r="N28" i="14"/>
  <c r="L28" i="14"/>
  <c r="J28" i="14"/>
  <c r="C25" i="14"/>
  <c r="H28" i="14" s="1"/>
  <c r="R28" i="14" s="1"/>
  <c r="K21" i="14"/>
  <c r="L32" i="13"/>
  <c r="K32" i="13"/>
  <c r="J32" i="13"/>
  <c r="I32" i="13"/>
  <c r="H32" i="13"/>
  <c r="G32" i="13"/>
  <c r="F32" i="13"/>
  <c r="E32" i="13"/>
  <c r="D32" i="13"/>
  <c r="C32" i="13"/>
  <c r="B32" i="13"/>
  <c r="M41" i="11"/>
  <c r="M40" i="11"/>
  <c r="M39" i="11"/>
  <c r="M38" i="11"/>
  <c r="M37" i="11"/>
  <c r="M36" i="11"/>
  <c r="M35" i="11"/>
  <c r="M34" i="11"/>
  <c r="M33" i="11"/>
  <c r="M32" i="11"/>
  <c r="M31" i="11"/>
  <c r="M30" i="11"/>
  <c r="M29" i="11"/>
  <c r="M28" i="11"/>
  <c r="M27" i="11"/>
  <c r="M26" i="11"/>
  <c r="M25" i="11"/>
  <c r="M24" i="11"/>
  <c r="M23" i="11"/>
  <c r="M22" i="11"/>
  <c r="M21" i="11"/>
  <c r="M20" i="11"/>
  <c r="M19" i="11"/>
  <c r="M18" i="11"/>
  <c r="M17" i="11"/>
  <c r="M16" i="11"/>
  <c r="M15" i="11"/>
  <c r="M14" i="11"/>
  <c r="M13" i="11"/>
  <c r="M12" i="11"/>
  <c r="M11" i="11"/>
  <c r="M10" i="11"/>
  <c r="M9" i="11"/>
  <c r="M8" i="11"/>
  <c r="M7" i="11"/>
  <c r="M6" i="11"/>
  <c r="M5" i="11"/>
  <c r="AH25" i="10"/>
  <c r="T23" i="10"/>
  <c r="U19" i="10"/>
  <c r="N19" i="10"/>
  <c r="P18" i="10"/>
  <c r="AH15" i="10"/>
  <c r="L15" i="10" s="1"/>
  <c r="AB18" i="10" s="1"/>
  <c r="AH14" i="10"/>
  <c r="V7" i="10"/>
  <c r="V8" i="10" s="1"/>
  <c r="H16" i="10" s="1"/>
  <c r="J18" i="10" s="1"/>
  <c r="AJ26" i="9"/>
  <c r="I13" i="9"/>
  <c r="V8" i="9"/>
  <c r="V9" i="9" s="1"/>
  <c r="F15" i="9" s="1"/>
  <c r="F16" i="9" s="1"/>
  <c r="N20" i="9" s="1"/>
  <c r="A19" i="5"/>
  <c r="C16" i="5"/>
  <c r="C14" i="5"/>
  <c r="R6" i="9" s="1"/>
  <c r="C12" i="5"/>
  <c r="B11" i="5"/>
  <c r="D8" i="5"/>
  <c r="D7" i="5"/>
  <c r="D6" i="5"/>
  <c r="H21" i="4"/>
  <c r="G21" i="4"/>
  <c r="F21" i="4"/>
  <c r="E21" i="4"/>
  <c r="H18" i="4"/>
  <c r="H15" i="4"/>
  <c r="H12" i="4"/>
  <c r="G5" i="4"/>
  <c r="F5" i="4"/>
  <c r="E5" i="4"/>
  <c r="B3" i="4"/>
  <c r="C22" i="5" s="1"/>
  <c r="A1" i="3"/>
  <c r="P17" i="2"/>
  <c r="P12" i="2"/>
  <c r="A5" i="2"/>
  <c r="C3" i="5" s="1"/>
  <c r="D4" i="2"/>
  <c r="L14" i="10" l="1"/>
  <c r="P19" i="9"/>
  <c r="X18" i="10"/>
  <c r="E18" i="10"/>
  <c r="F20" i="10" s="1"/>
  <c r="O17" i="10"/>
  <c r="O23" i="10" s="1"/>
  <c r="C23" i="10"/>
  <c r="AJ16" i="9"/>
  <c r="L16" i="9" s="1"/>
  <c r="AB19" i="9" s="1"/>
  <c r="A5" i="3"/>
  <c r="W23" i="10" l="1"/>
  <c r="W24" i="10" s="1"/>
  <c r="AJ15" i="9"/>
  <c r="L15" i="9" s="1"/>
  <c r="E19" i="9" s="1"/>
  <c r="U20" i="9"/>
  <c r="AH16" i="9"/>
  <c r="AI11" i="9"/>
  <c r="AI15" i="9"/>
  <c r="C24" i="9"/>
  <c r="H17" i="9"/>
  <c r="J19" i="9" s="1"/>
  <c r="B5" i="10"/>
  <c r="B6" i="9"/>
  <c r="A4" i="7"/>
  <c r="X19" i="9" l="1"/>
  <c r="F21" i="9" s="1"/>
  <c r="O24" i="9" s="1"/>
  <c r="C5" i="7" s="1"/>
  <c r="W24" i="9" l="1"/>
  <c r="W25" i="9" s="1"/>
  <c r="L5" i="7" s="1"/>
  <c r="M5" i="7" s="1"/>
  <c r="G5" i="7" s="1"/>
  <c r="G6" i="7" s="1"/>
  <c r="F3" i="15" s="1"/>
  <c r="C14" i="15" l="1"/>
  <c r="N10" i="15"/>
  <c r="N9" i="15"/>
  <c r="C8" i="15" l="1"/>
  <c r="O9" i="15"/>
  <c r="O10" i="15"/>
  <c r="N11" i="15" l="1"/>
  <c r="X30" i="13" s="1" a="1"/>
  <c r="X30" i="13" s="1"/>
  <c r="N12" i="15"/>
  <c r="I8" i="15" s="1"/>
  <c r="H8" i="15" l="1"/>
  <c r="N14" i="15"/>
  <c r="M14" i="15"/>
  <c r="F14" i="15" l="1"/>
  <c r="C5" i="13"/>
  <c r="C7" i="7" s="1"/>
  <c r="J14" i="15"/>
  <c r="J15" i="15"/>
  <c r="H17" i="15" s="1"/>
  <c r="L7" i="7" s="1"/>
  <c r="M7" i="7" s="1"/>
  <c r="G7" i="7" s="1"/>
  <c r="G8" i="7" s="1"/>
  <c r="G9" i="7" s="1"/>
  <c r="G10" i="7" s="1"/>
  <c r="V14" i="3" l="1"/>
  <c r="K14" i="3" s="1"/>
  <c r="AI26" i="9"/>
  <c r="AK26" i="9" s="1"/>
  <c r="AG25" i="10"/>
  <c r="AI25" i="10" s="1"/>
</calcChain>
</file>

<file path=xl/sharedStrings.xml><?xml version="1.0" encoding="utf-8"?>
<sst xmlns="http://schemas.openxmlformats.org/spreadsheetml/2006/main" count="1324" uniqueCount="933">
  <si>
    <t>아. 설계서의 작성: 실시설계서는 국가유산청 발간 국가유산수리표준시방서 및 정부표준품셈에 적합하고, 공사비 산정은 국토교통부 지정, 국가유산수리 표준품셈 및 각종 건설공사 표준품셈, 정부노임단가를 기준으로 한다. 자재비 단가는 조달청에서 발행한 가격 정보지를 우선으로 하되, 품목이 없을 시는 정부가 인정한 물가 정보지 등을 참고하고, 적용된 책자와 페이지 등을 기록하여 쉽게 열람(검사)할 수 있도록 요목으로 작성한다.</t>
  </si>
  <si>
    <t>***. ‘국가유산수리업’이라 함은 「국가유산수리 등에 관한 법률」제16조에 따른 국가유산수리업 중 ‘조경업, 보존과학업, 식물보호업, 단청공사업, 목공사업, 석공사업, 번와공사업, 미장공사업, 온돌공사업’을 말한다.</t>
  </si>
  <si>
    <t>- 작업량이 20만㎡ 이상인 경우에도 작업량계수(P)는 0.90으로 적용한다.</t>
  </si>
  <si>
    <t>다) 사전조사 등을 소홀히하여 설계 등 용역의 결과가 현저하게 부실할 때</t>
  </si>
  <si>
    <t xml:space="preserve">※ 국가유산수리의 난이도는 단순, 보통 및 복잡으로 다음과 같이 구분한다. </t>
  </si>
  <si>
    <t>1) 설계도서는「문화재수리규범」을 준수하여 공사명, 목차, 설계설명서, 공사시방서, 내역서, 수량산출서, 설계도면, 현황사진첩을 포함하여 작성하며, 작성항목은 다음과 같다.</t>
  </si>
  <si>
    <t>마. 공사 착공 후 발주처에서 설계와 관련된 업무협의를 요구할 경우 지체없이 응해야하며 설계서와 공사현장과 상이한 부분이 발견될 경우 설계자는 적절한 조치를 취하여야 한다.</t>
  </si>
  <si>
    <t>가) 설계 등 용역을 성실히 수행하지 아니함으로써 시설물의 주요 구조부가 손괴하거나 손괴될 우려가 있을 때 또는 공중에 현저한 저해를 끼치거나 끼칠 우려가 있을 때</t>
  </si>
  <si>
    <t>- 특히, 주요 구조재(대량, 도리, 기둥, 포작 등)와 조각물(용머리, 초가지, 화반 등), 장식재, 벽화, 옛단청, 회화, 문양류 등의 현황조사서를 작성한다.</t>
  </si>
  <si>
    <r>
      <t>14) 수리공사 완료 후 국가유산수리보고서 작성발간</t>
    </r>
    <r>
      <rPr>
        <sz val="14"/>
        <color rgb="FF000000"/>
        <rFont val="MS Gothic"/>
        <family val="3"/>
        <charset val="128"/>
      </rPr>
      <t>․</t>
    </r>
    <r>
      <rPr>
        <sz val="14"/>
        <color rgb="FF000000"/>
        <rFont val="바탕체"/>
        <family val="1"/>
        <charset val="129"/>
      </rPr>
      <t>제출(국가유산보호법시행규칙 제7조의3 수리기술자의 업무처리기준 및 수리업자의 업무처리 기준에 조치 의무화)</t>
    </r>
  </si>
  <si>
    <t>방위, 주변 건축물조사, 도로, 지형, 고저차, 주변, 식재(지장물), 배수</t>
  </si>
  <si>
    <t>현 재료의 생산여부, 유사 재료 생산여부, 단종 재료 생산 가능 여부 검토</t>
  </si>
  <si>
    <t>기둥 기울기, 안쏠림, 귀솟음, 흘림, 모접기·쌍사, 결구</t>
  </si>
  <si>
    <t>카. 기타 식물보호에 필요한 제반 상황을 조사하여 명기한다.</t>
  </si>
  <si>
    <t>(7) 토목공사시 고저 및 평판측량을 정확히 하여 작성한다.</t>
  </si>
  <si>
    <t>- 작업장: 필요시 지붕 설치, 우수에 침수되지 않은 위치 설치</t>
  </si>
  <si>
    <t>6) 설계도서는 관련 법규 및 제반 규정을 준수하여 작성한다.</t>
  </si>
  <si>
    <t>(2) 당해 수리목적물의 연혁, 현황, 수리실적 등을 기술한다.</t>
  </si>
  <si>
    <t>철물, 적심부 단면조사, 도구 흔적조사, 기초부 조사, 탁본</t>
  </si>
  <si>
    <t>- 본 설계는 다년간 경험이 있는 기술자가 설계하여야 한다.</t>
  </si>
  <si>
    <t>방위, 유구조사, 도로, 지형, 고저차, 주변, 식재, 배수</t>
  </si>
  <si>
    <t>현판, 난간, 철물(방환, 지내철, 장식철물), 기와, 도배 등</t>
  </si>
  <si>
    <t>5. 사업지침(자세한 사항은 관계 공무원의 설명을 들을 것)</t>
  </si>
  <si>
    <t>(3) 본 실시설계 이전의 기존자료는 최대한 활용할 수 있다.</t>
  </si>
  <si>
    <t>방위, 도로, 지형, 고저차, 주변, 식재(지장물), 배수</t>
  </si>
  <si>
    <t>용          역          금          액</t>
  </si>
  <si>
    <t>탁본, 면석 및 뒤채움 결구, 뒤채움 유형, 기초 및 지대석</t>
  </si>
  <si>
    <t>(5) 설계도면에는 매장마다 책임기술자가 서명을 하여야한다.</t>
  </si>
  <si>
    <t>나) 노임은 2023년도 상반기 정부 노임단가를 기준으로 한다.</t>
  </si>
  <si>
    <t>기둥 / 창방 / 평방 / 대량 / 석축 / 용마루 / 내림마루</t>
  </si>
  <si>
    <t>- 과제물은 지정된 수량 이외에는 일체 복사 복제를 금한다.</t>
  </si>
  <si>
    <t>다수의 축척이 포함된 경우 대표적인 축척 또는 복수의 축적 기재</t>
  </si>
  <si>
    <t>o 지형현황측량 작업량</t>
  </si>
  <si>
    <t>○○궁 ○○루 보수정비공사</t>
  </si>
  <si>
    <t>설계 Designed by</t>
  </si>
  <si>
    <t>총 용역비(VAT 포함)</t>
  </si>
  <si>
    <t>검토 Checked by</t>
  </si>
  <si>
    <t>승인 Approved by</t>
  </si>
  <si>
    <t>[산출근거][측량산출근거]</t>
  </si>
  <si>
    <t xml:space="preserve">  나. 실시설계 요율 :</t>
  </si>
  <si>
    <t xml:space="preserve"> 마. 실시설계비 산정</t>
  </si>
  <si>
    <t>상수도(정수장포함)건설공사</t>
  </si>
  <si>
    <t>조사 Reserched by</t>
  </si>
  <si>
    <t>최종 승인된 날짜 기재</t>
  </si>
  <si>
    <t xml:space="preserve">  다. 공 사 비 :</t>
  </si>
  <si>
    <t>천원에 대한 요율 산정</t>
  </si>
  <si>
    <t>일련번호 Sheet no.</t>
  </si>
  <si>
    <t>도면 설계자 성명 기재</t>
  </si>
  <si>
    <t>Ⅰ. 용 역 설 명 서</t>
  </si>
  <si>
    <t>(국가유산 수리 부문)</t>
  </si>
  <si>
    <t>수정·변경 Revision</t>
  </si>
  <si>
    <t>30억원초과50억원이하</t>
  </si>
  <si>
    <t>구          분</t>
  </si>
  <si>
    <t>3. 전통기법으로 수리한다.</t>
  </si>
  <si>
    <t>&lt;공사내용에 따른 기준&gt;</t>
  </si>
  <si>
    <t>평           균</t>
  </si>
  <si>
    <t>10억원초과20억원이하</t>
  </si>
  <si>
    <t>귀틀 및 청판 규격, 결구</t>
  </si>
  <si>
    <t>보수연혁 검토 및 분석</t>
  </si>
  <si>
    <t xml:space="preserve">규격, 결구, 도리뺄목 </t>
  </si>
  <si>
    <t>색(Color No.)</t>
  </si>
  <si>
    <t>규격, 말구 후림, 연정</t>
  </si>
  <si>
    <t>재료의 생산과 시공기법 조사</t>
  </si>
  <si>
    <t>2. 설계도서 작성기준</t>
  </si>
  <si>
    <t>상수도 및 하수도 조사</t>
  </si>
  <si>
    <t>하여 보고서로 남긴다.</t>
  </si>
  <si>
    <t>20억원초과30억원이하</t>
  </si>
  <si>
    <t>재료 및 시공기법 조사</t>
  </si>
  <si>
    <t>가. 설계원도(A3) 3부</t>
  </si>
  <si>
    <t>라. 현황사진첩(A4) 3부</t>
  </si>
  <si>
    <t>5. 수리보고서 작성요령</t>
  </si>
  <si>
    <t>총괄 및 공종별 설계내역</t>
  </si>
  <si>
    <t>4. 설계도서 작성 기준</t>
  </si>
  <si>
    <t>- 안전관리 시방서 등</t>
  </si>
  <si>
    <t>※ 시방서 작성요령(예)</t>
  </si>
  <si>
    <t>기초부, 성돌, 여장 등</t>
  </si>
  <si>
    <t>지대석, 면석, 여장 등</t>
  </si>
  <si>
    <t>나. 시방서 작성 일반기준</t>
  </si>
  <si>
    <t>창건연혁 검토 및 분석</t>
  </si>
  <si>
    <t>- 기타 사항에 대해서는 보안업무 규정을 준수하고, 감독관의지시를 받는다.</t>
  </si>
  <si>
    <t>9. 모든 수리는 원형보존의 원칙을 준수하되 구조적으로 안전하여야 한다.</t>
  </si>
  <si>
    <t>① 목조건축물의 해체ㆍ보수
 * 연목과 도리 일부 이상 해체보수
 * 목조건축물의 상호 연계성이 있는 2개 공종 이상의 복합공사
   (예 : 목공사와 단청공사, 연목 해체보수와 지붕공사)
② 성곽, 탑 등 석조물, 유구정비
 * 성곽 
: 읍성(자연석 석성)의 전면 해체보수
 가공석을 사용한 석성이나 홍예의 부분 해체보수
 * 탑 등 석조물 
: 고려시대 전 석탑, 전탑 등 석조물의  해체보수
 고려시대 이후 석탑 등 석조물의 완전 해체보수
 * 유구정비 : 시기가 다른 유구로 복합공종일 경우
③ 국가유산수리업*** 2종 이상이 복합된 국가유산수리
④ 기념관, 전시관, 박물관 등 신축, 복원, 이전
⑤ 특수한 양식 등 고도의 전문성을 요하는 수리로 발주자가 인정한 경우</t>
  </si>
  <si>
    <r>
      <t>․</t>
    </r>
    <r>
      <rPr>
        <sz val="10"/>
        <color rgb="FF000000"/>
        <rFont val="굴림"/>
        <family val="3"/>
        <charset val="129"/>
      </rPr>
      <t>공사명, 공사구분, 작성년월, 설계사무소명, 발주처</t>
    </r>
  </si>
  <si>
    <r>
      <t>․</t>
    </r>
    <r>
      <rPr>
        <sz val="10"/>
        <color rgb="FF000000"/>
        <rFont val="굴림"/>
        <family val="3"/>
        <charset val="129"/>
      </rPr>
      <t>훼손 및 변형 상태, 사용기와 규격, 잇기겹수 등</t>
    </r>
  </si>
  <si>
    <r>
      <t>․</t>
    </r>
    <r>
      <rPr>
        <sz val="10"/>
        <color rgb="FF000000"/>
        <rFont val="굴림"/>
        <family val="3"/>
        <charset val="129"/>
      </rPr>
      <t>방위표·등고선·진입로·인접도로·수목 현황 등 표기</t>
    </r>
  </si>
  <si>
    <t>- 수리보고서를 발간하여 배포한다.</t>
  </si>
  <si>
    <t>o 축척에 따른 증감계수(S)</t>
  </si>
  <si>
    <t>o 작업종류에 따른 계수(T)</t>
  </si>
  <si>
    <t>도면번호 Drawing no.</t>
  </si>
  <si>
    <t>o 지형 유형에 따른 증감계수(K)</t>
  </si>
  <si>
    <t>▨ 용역손해배상보험 또는 공제 요율</t>
  </si>
  <si>
    <t>규격, 변위(양단, 중앙부), 결구</t>
  </si>
  <si>
    <t>o 작업량에 따른 증감계수(P)</t>
  </si>
  <si>
    <t>기존 자료 검토 및 현황 조사</t>
  </si>
  <si>
    <t>국가유산수리 설계대가 요율(%)</t>
  </si>
  <si>
    <t>2012.06.19 건물 해체 시</t>
  </si>
  <si>
    <t xml:space="preserve">트러스(결구, 고정철물, 가공) </t>
  </si>
  <si>
    <t>[고증조사 및 현황조사 업무 항목]</t>
  </si>
  <si>
    <t>3. 식물보호 설계도서 작성 기준</t>
  </si>
  <si>
    <t xml:space="preserve">규격, 결구, 벽체고정 방식, </t>
  </si>
  <si>
    <t>도면의 개정 날짜 및 내용 기재</t>
  </si>
  <si>
    <t>탑구, 지대석, 기단, 적심부 등</t>
  </si>
  <si>
    <t>- 납품장소 : 보령시청 관광과</t>
  </si>
  <si>
    <t>지형, 고저차, 배수, 관람로 등</t>
  </si>
  <si>
    <t xml:space="preserve">창호 / 창호면 / 인방재 / </t>
  </si>
  <si>
    <t>마) 하도급 제한을 위반할 때</t>
  </si>
  <si>
    <t>2. 실시설계 설계비요율 산정</t>
  </si>
  <si>
    <t>(2) 전체 현황사진, 근경, 근접사진과 함께 보수대상의 수리, 정비되는 각 부위별로 사진을 작성한다.(필요시 연결사진을 촬영, 작성)</t>
  </si>
  <si>
    <t>나. 국가유산의 특성을 적극 고려하여 시의 적절한 정비가 이뤄질 수 있도록, 사업의 우선순위를 정하여 이를 설계에 반영하여야 한다.</t>
  </si>
  <si>
    <r>
      <t>차) 다른 행정기관으로부터 법령의 규정에 의하여 업무정지 요청이 있을</t>
    </r>
    <r>
      <rPr>
        <sz val="14"/>
        <color rgb="FF000000"/>
        <rFont val="바탕"/>
        <family val="1"/>
        <charset val="129"/>
      </rPr>
      <t xml:space="preserve"> </t>
    </r>
    <r>
      <rPr>
        <sz val="14"/>
        <color rgb="FF000000"/>
        <rFont val="바탕체"/>
        <family val="1"/>
        <charset val="129"/>
      </rPr>
      <t>때 관계기관과 협의사항이 있을 시는 사전 협의를 거쳐야 한다.</t>
    </r>
  </si>
  <si>
    <r>
      <t>다.</t>
    </r>
    <r>
      <rPr>
        <sz val="14"/>
        <color rgb="FF000000"/>
        <rFont val="바탕"/>
        <family val="1"/>
        <charset val="129"/>
      </rPr>
      <t xml:space="preserve"> </t>
    </r>
    <r>
      <rPr>
        <sz val="14"/>
        <color rgb="FF000000"/>
        <rFont val="바탕체"/>
        <family val="1"/>
        <charset val="129"/>
      </rPr>
      <t>본 사업수행에 있어 과업지시서에 명시되지 않은 사항이라도 시에서 필요하다고 인정되는 사항에 대하여는 시의 지시에 따라야 한다.</t>
    </r>
  </si>
  <si>
    <t>부서명</t>
  </si>
  <si>
    <t>등</t>
  </si>
  <si>
    <t>책임자</t>
  </si>
  <si>
    <t>내 용</t>
  </si>
  <si>
    <t>예 시</t>
  </si>
  <si>
    <t>치수</t>
  </si>
  <si>
    <t>설명</t>
  </si>
  <si>
    <t>가설도</t>
  </si>
  <si>
    <t>근</t>
  </si>
  <si>
    <t>대</t>
  </si>
  <si>
    <t>HAT</t>
  </si>
  <si>
    <t>DIM</t>
  </si>
  <si>
    <t>실선</t>
  </si>
  <si>
    <t>숨김</t>
  </si>
  <si>
    <t>굵기</t>
  </si>
  <si>
    <t>측</t>
  </si>
  <si>
    <t>마감선</t>
  </si>
  <si>
    <t>파선</t>
  </si>
  <si>
    <t>정보</t>
  </si>
  <si>
    <t>선형태</t>
  </si>
  <si>
    <t>명칭</t>
  </si>
  <si>
    <t>HID</t>
  </si>
  <si>
    <t>CEN</t>
  </si>
  <si>
    <t>중심선</t>
  </si>
  <si>
    <t>축</t>
  </si>
  <si>
    <t>구</t>
  </si>
  <si>
    <t>FIN</t>
  </si>
  <si>
    <t>해치</t>
  </si>
  <si>
    <t>기준</t>
  </si>
  <si>
    <t>상세</t>
  </si>
  <si>
    <t>복 잡</t>
  </si>
  <si>
    <t>담당자</t>
  </si>
  <si>
    <t>보통</t>
  </si>
  <si>
    <t>1억원</t>
  </si>
  <si>
    <t>3억원</t>
  </si>
  <si>
    <t>검토자</t>
  </si>
  <si>
    <t>복잡</t>
  </si>
  <si>
    <t>공기</t>
  </si>
  <si>
    <t>보 통</t>
  </si>
  <si>
    <t>합계</t>
  </si>
  <si>
    <t>단 순</t>
  </si>
  <si>
    <t>공종</t>
  </si>
  <si>
    <t>5억원</t>
  </si>
  <si>
    <t>구분</t>
  </si>
  <si>
    <t>비고</t>
  </si>
  <si>
    <t>지침</t>
  </si>
  <si>
    <t>소유자</t>
  </si>
  <si>
    <t>관리자</t>
  </si>
  <si>
    <t>sn</t>
  </si>
  <si>
    <t>사업비</t>
  </si>
  <si>
    <t>단순</t>
  </si>
  <si>
    <t>과 장</t>
  </si>
  <si>
    <t>용역명</t>
  </si>
  <si>
    <t>누 계</t>
  </si>
  <si>
    <t xml:space="preserve">  </t>
  </si>
  <si>
    <t>no</t>
  </si>
  <si>
    <t>비 고</t>
  </si>
  <si>
    <t>2억원</t>
  </si>
  <si>
    <t>2.</t>
  </si>
  <si>
    <t>누계</t>
  </si>
  <si>
    <t>3.</t>
  </si>
  <si>
    <t>발주청</t>
  </si>
  <si>
    <t xml:space="preserve">: </t>
  </si>
  <si>
    <t>사항</t>
  </si>
  <si>
    <t>본</t>
  </si>
  <si>
    <t>단면도</t>
  </si>
  <si>
    <t>평면도</t>
  </si>
  <si>
    <t>목차</t>
  </si>
  <si>
    <t>일반</t>
  </si>
  <si>
    <t>설</t>
  </si>
  <si>
    <t>설명서</t>
  </si>
  <si>
    <t>면</t>
  </si>
  <si>
    <t>세</t>
  </si>
  <si>
    <t>기</t>
  </si>
  <si>
    <t>개요</t>
  </si>
  <si>
    <t>고증</t>
  </si>
  <si>
    <t>황</t>
  </si>
  <si>
    <t>내역서</t>
  </si>
  <si>
    <t>배치도</t>
  </si>
  <si>
    <t>도</t>
  </si>
  <si>
    <t>설 계</t>
  </si>
  <si>
    <t>상</t>
  </si>
  <si>
    <t>자재표</t>
  </si>
  <si>
    <t>견적서</t>
  </si>
  <si>
    <t>입면도</t>
  </si>
  <si>
    <t>표지</t>
  </si>
  <si>
    <t>연혁</t>
  </si>
  <si>
    <t>축척</t>
  </si>
  <si>
    <t>⊙</t>
  </si>
  <si>
    <t>현</t>
  </si>
  <si>
    <t>현황</t>
  </si>
  <si>
    <t>항목</t>
  </si>
  <si>
    <t>석</t>
  </si>
  <si>
    <t>사</t>
  </si>
  <si>
    <t>도면</t>
  </si>
  <si>
    <t>물</t>
  </si>
  <si>
    <t>건</t>
  </si>
  <si>
    <t>정</t>
  </si>
  <si>
    <t>곽</t>
  </si>
  <si>
    <t>옥개석</t>
  </si>
  <si>
    <t>︶</t>
  </si>
  <si>
    <t>획</t>
  </si>
  <si>
    <t>기타</t>
  </si>
  <si>
    <t>탑</t>
  </si>
  <si>
    <t>상세도</t>
  </si>
  <si>
    <t>조</t>
  </si>
  <si>
    <t>증</t>
  </si>
  <si>
    <t>유</t>
  </si>
  <si>
    <t>비</t>
  </si>
  <si>
    <t>고</t>
  </si>
  <si>
    <t>탁본</t>
  </si>
  <si>
    <t>︵</t>
  </si>
  <si>
    <t>·</t>
  </si>
  <si>
    <t>부분도</t>
  </si>
  <si>
    <t>실</t>
  </si>
  <si>
    <t>목</t>
  </si>
  <si>
    <t>보실측</t>
  </si>
  <si>
    <t>가. 설계용역을 수행함에 있어 국가유산수리공사 설계도서 작성기준(국가유산청, 충남도) 및 이에 수행의 목적상 따라야 하는 관계규정에 먼저 준수하여야하며, 필요에 따라 관계기관과 협의해야 한다.</t>
  </si>
  <si>
    <t>지상 시설물의 저촉여부 조사, 구조물 설치 개소 및 시공 상 저촉구간 위치 확인, 부속시설물(상하수도, 가스, 케이블 등) 조사, 지장 수목 조사</t>
  </si>
  <si>
    <t>라) 건설공사에 사용될 자재, 재료 등의 품질기준, 시방서 및 제기준 등을 구체적으로 작성하지 아니함으로써 부실공사를 초래하거나 우려가 있을 때</t>
  </si>
  <si>
    <t>나. 설계도서 납품 이후라도 국가유산청 및 충청남도 설계승인을 위하여 일부 도면 수정 및 보완을 요구할 경우에는 추가비용 없이 이를 이행하여야 한다.</t>
  </si>
  <si>
    <r>
      <t xml:space="preserve">가. </t>
    </r>
    <r>
      <rPr>
        <u/>
        <sz val="14"/>
        <color rgb="FF000000"/>
        <rFont val="바탕체"/>
        <family val="1"/>
        <charset val="129"/>
      </rPr>
      <t xml:space="preserve">착수 전 관계공무원의 입회 </t>
    </r>
    <r>
      <rPr>
        <u/>
        <sz val="14"/>
        <color rgb="FF000000"/>
        <rFont val="MS Gothic"/>
        <family val="3"/>
        <charset val="128"/>
      </rPr>
      <t>․</t>
    </r>
    <r>
      <rPr>
        <u/>
        <sz val="14"/>
        <color rgb="FF000000"/>
        <rFont val="바탕체"/>
        <family val="1"/>
        <charset val="129"/>
      </rPr>
      <t xml:space="preserve"> 설명 하에 현장조사를 실시하고 과업 진행 중</t>
    </r>
    <r>
      <rPr>
        <sz val="14"/>
        <color rgb="FF000000"/>
        <rFont val="바탕"/>
        <family val="1"/>
        <charset val="129"/>
      </rPr>
      <t xml:space="preserve"> </t>
    </r>
    <r>
      <rPr>
        <u/>
        <sz val="14"/>
        <color rgb="FF000000"/>
        <rFont val="바탕체"/>
        <family val="1"/>
        <charset val="129"/>
      </rPr>
      <t>의문점 및 자세한 사항은 반드시 발주부서와 협의 처리하여야 한다.</t>
    </r>
  </si>
  <si>
    <r>
      <t>마. 동공, 부패부의 발생여부 및 크기, 고사지, 쇠약지 등의 발생 유무, 유합조직 형성 여부, 가지 신장, 잎의 크기</t>
    </r>
    <r>
      <rPr>
        <sz val="14"/>
        <color rgb="FF000000"/>
        <rFont val="MS Gothic"/>
        <family val="3"/>
        <charset val="128"/>
      </rPr>
      <t>․</t>
    </r>
    <r>
      <rPr>
        <sz val="14"/>
        <color rgb="FF000000"/>
        <rFont val="바탕체"/>
        <family val="1"/>
        <charset val="129"/>
      </rPr>
      <t xml:space="preserve">색, 지엽밀도, 낙엽상태, </t>
    </r>
  </si>
  <si>
    <t>주칸(기둥위치), 방(용도 및 마감), 마루(귀틀 평균 폭 및 두께, 청판개수 및 두께), 주변현황(인접 구조물 관계)</t>
  </si>
  <si>
    <t>(5) 당해 공사의 특성과 성격, 품질 및 성능이 충족되도록 표준시방서를 기본으로 하여 공사 성격에 맞도록 작성한다.</t>
  </si>
  <si>
    <t>*. ‘지정유산 수리’라 함은 「국가유산수리 등에 관한 법률」 제2조제1호 가목 및 나목에 따른 국가유산수리를 말한다.</t>
  </si>
  <si>
    <t>지형, 지질, 하천 등의 자연 상황, 주변도로, 용지조건, 토지이용 현황 등 조사, 사진촬영, 현지답사 보고서 작성</t>
  </si>
  <si>
    <t>나. 설계도서는 시공 상세도를 상세하게 작성하여 누구나 도면을 이해하여 공사가 진행되도록 한다.(외래어는 한글표기)</t>
  </si>
  <si>
    <t>라. 배치도에는 대상 및 주변 일곽의 구조물, 수 등을 도시하며, 배치도는 주변현황조사, 측량을 실시하여 작성한다.</t>
  </si>
  <si>
    <t>대상 지역 부근(공사로 인한 직간접적으로 구조물에 영향을 미치는 범위)의 기존 건물을 비롯한 각종 구조물 현황 조사</t>
  </si>
  <si>
    <t>7) 설계도서는 공사시방서, 내역서, 설계도면 간의 연계성을 고려하여 내용을 구성하고 상호 비교할 수 있도록 한다.</t>
  </si>
  <si>
    <t>3) 국가유산수리의 실측은 기본실측을 토대로 하며, 수리범위 및 주요 부재 가운데 시공에 필요한 부분은 상세실측을 한다.</t>
  </si>
  <si>
    <t>자) 신기술, 신공법 등에 대한 설계 기술의 적용을 잘못하여 건설공사가 부실하게 되거나 부실하게 될 우려가 있을 때</t>
  </si>
  <si>
    <t>마. 착수시기는 계약조건에 의하여 시기를 결정하고 착수와 동시에 용역에 참여할 팀의 명단을 제출한다.</t>
  </si>
  <si>
    <t>(2) 각종 개발 계획에 따라 기타 관계기관과 협의가 필요시는 용역 준공 전에 사전협의를 완료하여야 한다.</t>
  </si>
  <si>
    <t>- 지붕의 높이, 곡선 등이 시공후에 원형과 차이가 없도록 지붕구조 및 양식에 대한 조사를 정확히 한다.</t>
  </si>
  <si>
    <t>아. 설계내역 및 CAD화된 설계도면은 CD로 제작하여 출력한 도면과 함께 발주처에 납품하여야 한다.</t>
  </si>
  <si>
    <t>창호 및 개구부의 위치, 외부마감재료, 외벽시설물(사다리, 난간, 홈통 등), 굴뚝 및 옥상 돌출부 등</t>
  </si>
  <si>
    <t>- 보수대상의 현황조사는 각 부위, 부재별로 조사서와 사진, 도면 작성이 일괄되게 함께 작성되어야 한다.</t>
  </si>
  <si>
    <t xml:space="preserve">      2) 단순ㆍ보통ㆍ복잡 국가유산수리가 동일한 현장인 경우 최상위 난이도를 기준으로 산출한다.</t>
  </si>
  <si>
    <t xml:space="preserve">※ 본 표 중 설계도면은 국가유산수리 설계 시 수행되는 일반적인 항목(목조건축물 기준)을 규정한 것으로 </t>
  </si>
  <si>
    <t>다. 토양의 물리 및 화학성 등 전반적인 사항을 조사하되, 필요시 시료를 채취하고 채취지점을 표기한다.</t>
  </si>
  <si>
    <t>12) 화장실 설치시 변기의 수량은 가능한「공중화장실 등에 곤한 법률」제7조의 기준에 준하여 설계한다.</t>
  </si>
  <si>
    <t xml:space="preserve">  가. 요율산출근거 : 문화재청 고시 제2024-16호 국가유산수리 설계 대가기준, 2024. 1. 8.</t>
  </si>
  <si>
    <t>실내의장(도배, 도장, 바닥재, 바닥 문양 등), 전기(전등, 스위치 등), 난방(벽난로, 굴뚝 등)</t>
  </si>
  <si>
    <t>**. ‘주변정비’라 함은 「국가유산수리 등에 관한 법률」 제2조제1호 다목에 따른 국가유산수리를 말한다.</t>
  </si>
  <si>
    <t>- 엔지니어링 기술진흥법에 정한대로 사업 책임 기술자 및 분야별 기술자 서명 날인을 필히 하여야 한다.</t>
  </si>
  <si>
    <t>도로 및 차량진입 관계 조사, 특수재료의 공급처 및 단가 조사, 폐기물 처리방법 및 비용조사</t>
  </si>
  <si>
    <t>가. 자연유산 식물명, 학명, 식물위치 좌표, 수형, 연혁 및 배경 등 개황을 명기한다.</t>
  </si>
  <si>
    <t>바. 외과수술 대상목은 일련번호를 부여하여 근접촬영하여 사진 또는 CD-ROM으로 제출한다.</t>
  </si>
  <si>
    <t>17) 설계도서 작성시 당해 공사와 관련이 없는 물품구입은 내역에 포함되지 않도록 한다.</t>
  </si>
  <si>
    <t>11) 전기, 통신, 기계설비 등과 관련된 사항은 발주처와 협의하여 설계도서에 반영한다.</t>
  </si>
  <si>
    <t>제반법규(국가유산보호법, 건축법, 도시계획법, 산림법, 농지법 등) 검토, 인허가 절차 파악</t>
  </si>
  <si>
    <t>가. 국가유산의 특성을 정확히 파악하여, 관계전문가의 자문을 거쳐 설계도서를 작성한다.</t>
  </si>
  <si>
    <t>다. 관계전문가 자문회의는 1회 이상 실시하고 참석자는 감독관과 협의하여 결정하여야 한다.</t>
  </si>
  <si>
    <t>병충해 피해여부, 넝쿨식물의 유무 및 피해정도 등 수목의 전반적인 상태를 종합조사 한다.</t>
  </si>
  <si>
    <t>(2) 일위대가 : 단가 인용 근거자료를 명시한다.(예: 가격정보 oo쪽, 견적서 등)</t>
  </si>
  <si>
    <t>5) 설계도서는 공사 내용 파악이 용이하도록 간결하게 구성하되 그 내용은 상세하게 작성한다.</t>
  </si>
  <si>
    <t>라. 설계자는 설계 중간보고는 감독관이 필요하다고 인정할 시에는 지정일에 보고하여야 한다.</t>
  </si>
  <si>
    <t>가. 본 설계용역의 성과품에 대한 최종 납품은 우리시의 설계도서 심사를 필하여야 한다.</t>
  </si>
  <si>
    <t>7. 문화재 수리 내용을 모두 기록 보존하고, 문화재를 파손시키거나 변형하지 않도록 한다.</t>
  </si>
  <si>
    <t>- 본 과업수행 과정에서 발생되는 제반 자료는 별도함에 보관하여 보안장치에 만전을 기하여야 한다.</t>
  </si>
  <si>
    <t>나. 식물이 위치한 500m이내의 거리, 지세, 주변상황, 일조상황 등 입지 환경을 조사한다.</t>
  </si>
  <si>
    <t>주: 1) 법에 따른 국가유산수리 외에도 전통양식으로 하는 경우는 동 기준을 적용할 수 있다.</t>
  </si>
  <si>
    <t>나) 구조계산 등을 소홀히하여 시설물의 주요 구조부의 안전성 또는 내구성을 저하시킬 우려가 있을 때</t>
  </si>
  <si>
    <t>15) 국가유산보수공사 실명제 시행에 따라 공사안내판에 보수기술자 및 발주처 등을 명시하여야 한다.</t>
  </si>
  <si>
    <t>아. 보수공사 후 발생되는 잔토, 파쇄석 등 반출목의 처리방안을 선정하여 설계도서에 명시한다.</t>
  </si>
  <si>
    <t>하며, 용역 수행 중 변경이나 정산이 필요시는 이에 응하여 수정, 보완, 조정 등 완성하여야 한다.</t>
  </si>
  <si>
    <t>(1) 원가계산서, 총괄 내역, 부문별 내역, 일위대가, 부표, 수량산출조서 순으로 작성 편집한다.</t>
  </si>
  <si>
    <t>(5) 전통건조물 부재보관소 이관과 부재선정, 부재운반 등에 관련된 사항을 설계도서에 반영한다.</t>
  </si>
  <si>
    <t>- 복원의 경우에는 고증자료 조사, 수집을 철저히 하도록하고, 그 발췌근거를 명기하도록 한다.</t>
  </si>
  <si>
    <t>차. 군락이나 수림지의 경우는 지정(보호)구역 도면에 수목의 연번을 부여 전체목록을 조사 작성한다.</t>
  </si>
  <si>
    <t>기둥, 벽, 창문 등의 위치, 방(용도 및 마감), 복도, 계단, 주변현황(인접 구조물 관계)</t>
  </si>
  <si>
    <t>지붕틀(트러스), 마루틀, 용마루, 처마끝, 박공널, 지붕골, 고정철물, 지붕물매, 처마길이 등</t>
  </si>
  <si>
    <t>바. 수리공사 완료 후 수리보고서 작성지침에 따라 국가유산수리보고서를 작성 제출토록 명시한다.</t>
  </si>
  <si>
    <r>
      <t>시방서에는 공사명, 지정별, 소재지, 예산(국비, 지방비, 자부담), 연혁, 주변현황, 보수대상현황(퇴락, 훼손원인 규명 포함), 사업지침, 공사개요, 공정표 순서로 누락되지 않도록 하며, 「4.2 시방서 작성 일반기준」에 의한 해당 사항을 포함</t>
    </r>
    <r>
      <rPr>
        <sz val="10"/>
        <color rgb="FF000000"/>
        <rFont val="MS Gothic"/>
        <family val="3"/>
        <charset val="128"/>
      </rPr>
      <t>․</t>
    </r>
    <r>
      <rPr>
        <sz val="10"/>
        <color rgb="FF000000"/>
        <rFont val="바탕"/>
        <family val="1"/>
        <charset val="129"/>
      </rPr>
      <t>작성한다.</t>
    </r>
  </si>
  <si>
    <t>나. 본 설계기간 중 과업지시는 성실히 수행하여야 하며, 지침 및 과업에 명시되지 않은 사항이라도 발주청(보령시 관광과)의 시정요구가 있을시는 바로 수행하고, 과업자(용역자)의 의견이나 건의사항을 협의처리하되, 이에 따른 추가비용은 청구할 수 없다.</t>
  </si>
  <si>
    <t>벽 구성(인방, 주선, 문선의 위치), 창호(크기, 울거미, 창살, 창살문양, 철물), 난간, 초석, 기둥(초석 위, 기둥 중간 또는 1/3 지점, 기둥 상부), 수장</t>
  </si>
  <si>
    <t xml:space="preserve">자. 책정되는 예산액은 추정공사비이므로 설계도서가 작성된 후 실시설계 물량보다 설계물량이 초과하더라도 계약자는 추가 요구할 수 없고, 미달되면 감액조치할 수 있다. </t>
  </si>
  <si>
    <r>
      <t>아. 설계도에 방위와 정확한 축적을 나타내고 방위별 수형도, 단면도, 평면도와 도로</t>
    </r>
    <r>
      <rPr>
        <sz val="14"/>
        <color rgb="FF000000"/>
        <rFont val="MS Gothic"/>
        <family val="3"/>
        <charset val="128"/>
      </rPr>
      <t>․</t>
    </r>
    <r>
      <rPr>
        <sz val="14"/>
        <color rgb="FF000000"/>
        <rFont val="바탕체"/>
        <family val="1"/>
        <charset val="129"/>
      </rPr>
      <t>건물 등 주변 상황도, 평면도와 단면도를 그리고, 평면도상에 가지발달 상황을 표시한다.</t>
    </r>
  </si>
  <si>
    <r>
      <t>(9) 건물 부분 공사시는 전체를 알 수 있도록 도시하고 기간</t>
    </r>
    <r>
      <rPr>
        <sz val="14"/>
        <color rgb="FF000000"/>
        <rFont val="MS Gothic"/>
        <family val="3"/>
        <charset val="128"/>
      </rPr>
      <t>․</t>
    </r>
    <r>
      <rPr>
        <sz val="14"/>
        <color rgb="FF000000"/>
        <rFont val="바탕체"/>
        <family val="1"/>
        <charset val="129"/>
      </rPr>
      <t>배수로</t>
    </r>
    <r>
      <rPr>
        <sz val="14"/>
        <color rgb="FF000000"/>
        <rFont val="MS Gothic"/>
        <family val="3"/>
        <charset val="128"/>
      </rPr>
      <t>․</t>
    </r>
    <r>
      <rPr>
        <sz val="14"/>
        <color rgb="FF000000"/>
        <rFont val="바탕체"/>
        <family val="1"/>
        <charset val="129"/>
      </rPr>
      <t>담장 등을 보수할 때는 건물도면은 생략 가능하되, 배치도에 현황과 보수 계획 범위를 도시하도록 한다.</t>
    </r>
  </si>
  <si>
    <t>라. 본 용역의 설계의무는 착수시부터 관련 인허가(국가유산청 및 충남도 설계승인) 및 준공시까지로 하고, 타법에 규정된 인허가가 수반될 경우 이를 이행하기 위한 관련서류를 함께 작성하여 제출하여야 하며, 인허가가 완료될 수 있도록</t>
  </si>
  <si>
    <t>○ 사적 종합정비계획의 수립 및 시행에 관한 지침(훈령)</t>
  </si>
  <si>
    <t>자. 부엽토 및 개량제 등 사용재료의 제품명을 명기한다.</t>
  </si>
  <si>
    <t xml:space="preserve">박공 욱음, 박공 하단의 초새김 및 초각문양, 결구 </t>
  </si>
  <si>
    <t xml:space="preserve">평잇기, 기와가락잇기 표준규격, 고정철물, 마감부 규격 </t>
  </si>
  <si>
    <t>(4) 설계도는 현황 실측조사를 근거로 하여 작성한다.</t>
  </si>
  <si>
    <t>(3) 설계도는 현황과 보수계획 도면으로 각각 작성한다.</t>
  </si>
  <si>
    <t>주요구조재(지대석, 상하층기단, 옥개석 등)의 높이값</t>
  </si>
  <si>
    <t>규격, 추녀곡, 뒷뿌리 결구, 초각, 추녀정, 띠철</t>
  </si>
  <si>
    <t>입면구성(면석, 우주석, 탱주석의 위치), 앙곡 등</t>
  </si>
  <si>
    <t>(1) 사진첩의 각 사진은 사진설명을 기입하여 편집한다.</t>
  </si>
  <si>
    <t>(3) 설계내용을 외부에 누설하여 물의를 야기시켰을 때</t>
  </si>
  <si>
    <t>[별표1] 국가유산수리 설계대가 요율(제6조 관련)</t>
  </si>
  <si>
    <t>y : 해당공사비요율 x : 해당 금액 (단위 : 천원)</t>
  </si>
  <si>
    <t xml:space="preserve">    1.적용요율  =  기본요율 + 적용가산요율</t>
  </si>
  <si>
    <r>
      <t>․</t>
    </r>
    <r>
      <rPr>
        <sz val="14"/>
        <color rgb="FF000000"/>
        <rFont val="바탕체"/>
        <family val="1"/>
        <charset val="129"/>
      </rPr>
      <t xml:space="preserve"> 해당국가유산의 과거 수리내용도 함께 수록</t>
    </r>
  </si>
  <si>
    <t>① 목조건축물의 부분 해체ㆍ보수 
* 산자이상 해체와 그보다 적은 범위의 
  해체보수
   (지붕 번와공사, 개판 또는 산자 교체 포함)
 * 목조건축물의 단일 공종 보수
   (지붕, 전돌, 미장, 창호, 온돌, 수장, 단청 등)
 * 사주문, 협문 등과 같은 소규모(바닥면적 10㎡ 이하) 건축물
② 성곽, 탑 등 석조물, 유구정비
 * 성곽 : 읍성(자연석 석성)의 부분 해체보수
 * 탑 등 석조물 
  : 고려시대 이후 석탑 등 석조물의 부분 해체보수,
   평석교(단순 구조), 승탑, 석조의 부분 해체보수
 * 유구정비 : 같은 시기의 유구로 규모가 작고 단일공종의 경우
③ 도로, 담장(꽃담, 궁담 제외), 석축, 단순 조경식재 등 부속시설 등의 정비</t>
  </si>
  <si>
    <t>① 목조건축물의 해체ㆍ보수
 * 5량가 이상 : 연목과 도리 일부 이상 해체보수
 * 5량가 미만(주심포, 다포 제외) : 전면해체보수, 신축, 복원, 이전
 * 목조건축물의 상호 연계성이 있는 2개 공종 이상의 복합공사
   (예 : 목공사와 단청공사, 연목 해체보수와 지붕공사)
 * 화장실이나 부속건물의 신축, 복원, 이전
② 성곽, 탑 등 석조물, 유구정비
 * 성곽 
  : 읍성(자연석 석성)의 전면해체보수, 
   가공석을 사용한 석성이나 홍예의 부분해체보수
 * 탑 등 석조물 
  : 고려시대 전 석탑, 전탑 등 석조물의 부분 해체보수
   고려시대 이후 석탑 등 석조물의 완전 해체보수
 * 유구정비 : 시기가 다른 유구로 복합 공종일 경우
③ 복합 공종의 주변정비시설, 조경시설물 및 조경식재 : 꽃담, 궁담 등 담장공사, 전통기법에 의한 조경공사(식재, 연못 조성 등)
④ 국가유산수리업*** 2종 이상이 복합된 국가유산수리</t>
  </si>
  <si>
    <r>
      <t>․</t>
    </r>
    <r>
      <rPr>
        <sz val="10"/>
        <color rgb="FF000000"/>
        <rFont val="굴림"/>
        <family val="3"/>
        <charset val="129"/>
      </rPr>
      <t>공급자, 품명, 규격, 수량, 단가, 합계, 견적일자</t>
    </r>
  </si>
  <si>
    <t>라. 뿌리의 분포, 생장 상태 등 발달 상황(도로, 암반, 건물, 담장 등), 지피물의 상태, 포장, 복토의 여부 및 정도를 조사하고 조사지점을 표기한다.</t>
  </si>
  <si>
    <t>6. 수리대상물은 수리하기 전의 상태와 수리 후 상세한 기록을 작성하고 수리절차와 처리방법 등 수리 내용을 구체적으로 기록</t>
  </si>
  <si>
    <t>- 전체적인 보수내용, 범위를 기술하고 교체부재는 각각 수량으로 표기하되, 전체수량에 대한 교체비율을 알 수 있도록 한다.</t>
  </si>
  <si>
    <t>2) 주변환경과 수리대상에 대한 철저한 ‘고증 및 현황조사’,‘실측’에 근거한 설계도서를 작성하며, 작성항목은 아래와 같다.</t>
  </si>
  <si>
    <t>※ 공사비는 개별 수리 공사에 대한 비용으로 서로 다른 둘 이상의 국가유산 수리 공사비를 한 건으로 산출하여 적용하지 않는다.</t>
  </si>
  <si>
    <t>(6) 당해 국가유산수리에 적용하는 해당기준에 적합한 자재의 성능, 규격, 시험, 검사 등에 관하 사항을 포함하여 기술한다.</t>
  </si>
  <si>
    <t>가) 국가유산청 국가유산수리 표준품셈 및 국토교통부 제정 표준품셈(2022)에 따라 산정하되 감독관과 협의에 따라 적용한다.</t>
  </si>
  <si>
    <t>사. 설계도면은 CAD로 그려진 도면을 출력 후 납품함을 원칙으로 하되 부득이한 경우 수작업으로 작성하여 제출할 수 있다.</t>
  </si>
  <si>
    <t>(2) CAD화 된 도면은 CD-ROM으로 시행청에 납품하되, 호환성이 있도록 조달청에서 선정통보된 CD-ROM이어야 한다.</t>
  </si>
  <si>
    <r>
      <t>- 공사시공 및 준공후 설계 불완전으로 발생하는 하자와 설계 수량의 착오로 인하여 발주청측에 피해가 있을때 또는 설계자로서의 의무와 필요한 조치를 이행하지 아니함으로 인하여 발생하는 민</t>
    </r>
    <r>
      <rPr>
        <sz val="14"/>
        <color rgb="FF000000"/>
        <rFont val="MS Gothic"/>
        <family val="3"/>
        <charset val="128"/>
      </rPr>
      <t>․</t>
    </r>
    <r>
      <rPr>
        <sz val="14"/>
        <color rgb="FF000000"/>
        <rFont val="바탕체"/>
        <family val="1"/>
        <charset val="129"/>
      </rPr>
      <t>형사상의 책임을 져야하며, 이로 인한 모든 손해배상은 도급계약자가 진다.</t>
    </r>
  </si>
  <si>
    <t>9) 목조건물의 해체보수, 지붕보수(경미한 기와고르기 제외), 기타 특수국가유산</t>
  </si>
  <si>
    <t>도면 출력 후 편철 관리의 편의를 위해 부여된 편철 번호(기재도면 번호는 별도)</t>
  </si>
  <si>
    <t>- 다음의 경우에는 당 시에서 일방적인 계약해제를 하여도 이의를 제기치 못한다.</t>
  </si>
  <si>
    <t xml:space="preserve">성벽 기울기, 단면유형, 성석쌓기, 가공, 여장의 입면구성, 재료, 총안 기울기 </t>
  </si>
  <si>
    <t>나) 각종 보험 요율은 정부기관에서 제정한 보험요율을 따르고 각종 보험료를 적용한다.</t>
  </si>
  <si>
    <t>사) 부실 설계 도서를 작성함으로써 부실공사를 초래하거나 초래할 우려가 있을 때</t>
  </si>
  <si>
    <t>국가유산 및 수리공사의 유형에 따라 도면의 종류 및 축척을 달리 적용할 수 있다.</t>
  </si>
  <si>
    <t>조적조쌓기, 벽체 마감(흙손, 물씻어내기, 뿜질 등), 고정철물, 몰딩 형상 및 규격</t>
  </si>
  <si>
    <t>- 보존상태에 대한 부분별 퇴락정도, 범위, 원인을 객관적이고 정확히 조사 기술한다.</t>
  </si>
  <si>
    <t>※ 200억원 초과의 경우 공식에 의해 산출된 요율은 소수점 셋째자리에서 반올림한다.</t>
  </si>
  <si>
    <t>(3) 수리대상에 대한 수리원인과 수리방안, 고증조사 내용을 항목별로 기술한다.</t>
  </si>
  <si>
    <t>5. 문화재가 지닌 특성을 간직한 채 전체적으로 조화가 유지되도록 하여야 한다.</t>
  </si>
  <si>
    <t>기울기(가공초석), 모접기, 조각, 가공정도, 덤벙초석은 개별 실측(가공은 평균치)</t>
  </si>
  <si>
    <t>(2) 시공시 우의사항을 착공전, 시공중, 시공완료 후 등으로 구분하여 작성한다.</t>
  </si>
  <si>
    <t>8) 설계도서에 관람객 및 작업자의 안전을 위한 안전조치 사항을 반영하도록 한다.</t>
  </si>
  <si>
    <r>
      <t>4.1 문화재를 그대로 둘 경우, 붕괴</t>
    </r>
    <r>
      <rPr>
        <sz val="11"/>
        <color rgb="FF000000"/>
        <rFont val="굴림"/>
        <family val="3"/>
        <charset val="129"/>
      </rPr>
      <t>·</t>
    </r>
    <r>
      <rPr>
        <sz val="11"/>
        <color rgb="FF000000"/>
        <rFont val="바탕"/>
        <family val="1"/>
        <charset val="129"/>
      </rPr>
      <t>소멸되어 새로운 재료의 사용이 불가피한 경우</t>
    </r>
  </si>
  <si>
    <r>
      <t>․</t>
    </r>
    <r>
      <rPr>
        <sz val="10"/>
        <color rgb="FF000000"/>
        <rFont val="굴림"/>
        <family val="3"/>
        <charset val="129"/>
      </rPr>
      <t>인입배치도, 계통도, 조명·방범·통신 등 설비도, 피뢰침 상세도 등 관련 도면</t>
    </r>
  </si>
  <si>
    <r>
      <t>․</t>
    </r>
    <r>
      <rPr>
        <sz val="10"/>
        <color rgb="FF000000"/>
        <rFont val="굴림"/>
        <family val="3"/>
        <charset val="129"/>
      </rPr>
      <t>가설울타리·사무소·작업장·창고 등 가설위치, 자재 적치장소, 소화시설 비치장소 표기</t>
    </r>
  </si>
  <si>
    <r>
      <t>- 경역정비 사업일 경우 경내 지하수 유출, 배수현황 등을 정확히 조사</t>
    </r>
    <r>
      <rPr>
        <sz val="14"/>
        <color rgb="FF000000"/>
        <rFont val="MS Gothic"/>
        <family val="3"/>
        <charset val="128"/>
      </rPr>
      <t>․</t>
    </r>
    <r>
      <rPr>
        <sz val="14"/>
        <color rgb="FF000000"/>
        <rFont val="바탕체"/>
        <family val="1"/>
        <charset val="129"/>
      </rPr>
      <t>기술한다.</t>
    </r>
  </si>
  <si>
    <r>
      <t>- 지형의 등고, 토질, 수목생태계 등도 사업과 관련될 경우 정확히 조사</t>
    </r>
    <r>
      <rPr>
        <sz val="14"/>
        <color rgb="FF000000"/>
        <rFont val="MS Gothic"/>
        <family val="3"/>
        <charset val="128"/>
      </rPr>
      <t>․</t>
    </r>
    <r>
      <rPr>
        <sz val="14"/>
        <color rgb="FF000000"/>
        <rFont val="바탕체"/>
        <family val="1"/>
        <charset val="129"/>
      </rPr>
      <t>기술한다.</t>
    </r>
  </si>
  <si>
    <t>16) 국가유산수리시 재사용이 불가능한 부재 중 전통건조물의 특성과 기법을 간직한 중요 부재로 전통건조물부재보관 운영위원회에서 보존의 필요성이 인정된 부재는 국가유산청(전통건조물 부재보관소)에 이관하도록 명시한다.</t>
  </si>
  <si>
    <r>
      <t>․</t>
    </r>
    <r>
      <rPr>
        <sz val="14"/>
        <color rgb="FF000000"/>
        <rFont val="바탕체"/>
        <family val="1"/>
        <charset val="129"/>
      </rPr>
      <t xml:space="preserve"> 국가유산 연혁, 주변환경, 수리공사 내용, 기술지도자문회의 및 관계전문가 자문내용, 상량문, 묵서명 및 출토유물 등과 수리전</t>
    </r>
    <r>
      <rPr>
        <sz val="14"/>
        <color rgb="FF000000"/>
        <rFont val="MS Gothic"/>
        <family val="3"/>
        <charset val="128"/>
      </rPr>
      <t>․</t>
    </r>
    <r>
      <rPr>
        <sz val="14"/>
        <color rgb="FF000000"/>
        <rFont val="바탕체"/>
        <family val="1"/>
        <charset val="129"/>
      </rPr>
      <t>후 사진, 설계도면 등 공사에 수반되는 모든 자료를 정리하여 수록한다.</t>
    </r>
  </si>
  <si>
    <r>
      <t>18) 국가유산 보수</t>
    </r>
    <r>
      <rPr>
        <sz val="14"/>
        <color rgb="FF000000"/>
        <rFont val="MS Gothic"/>
        <family val="3"/>
        <charset val="128"/>
      </rPr>
      <t>․</t>
    </r>
    <r>
      <rPr>
        <sz val="14"/>
        <color rgb="FF000000"/>
        <rFont val="바탕체"/>
        <family val="1"/>
        <charset val="129"/>
      </rPr>
      <t>정비용 목재는 반드시 소나무재선충 확산방지를 위해 반입 전 훈증소독을 필한 것을 사용토록하고, 조경용으로 사용되는 소나무는 미 감염지역 생산 확인필증 확인 후 식재하도록 한다.</t>
    </r>
  </si>
  <si>
    <t>바. 과업지시서의 변경: 발주청의 계획 변경으로 인하여 불가피하게 과업지시서의 내용을 변경하여야 할 사항과 당초 계획에 고려하지 못한 사항은 별도로 우리시와 협의하여 결정하고 과업을 수행하여야 한다.</t>
  </si>
  <si>
    <t>① 목조건축물의 해체ㆍ보수
 * 산자이상 해체와 그보다 적은 범위의 
   해체보수
  (지붕 번와공사, 개판 또는 산자 교체 포함)
 * 목조건축물 단일 공종 보수
  (지붕, 전돌, 미장, 창호, 온돌, 수장, 단청 등)
 * 사주문, 협문 등과 같은 소규모(바닥면적 10㎡ 이하) 건축물
② 성곽, 탑 등 석조물, 유구정비
 * 성곽 : 읍성(자연석 석성)의 부분 해체보수
 * 탑 등 석조물
  : 고려시대 이후 석탑 등 석조물의 부분 해체보수,
   평석교(단순 구조), 승탑, 석조의 일부 해체보수
 * 유구정비 : 같은 시기의 유구로 규모가 작고  단일공종인 경우
③ 국가유산수리업*** 1종이 수리할 수 있는 국가유산수리
④ 도로, 담장, 석축, 조경식재 등 부속시설의 정비</t>
  </si>
  <si>
    <r>
      <t>․</t>
    </r>
    <r>
      <rPr>
        <sz val="10"/>
        <color rgb="FF000000"/>
        <rFont val="굴림"/>
        <family val="3"/>
        <charset val="129"/>
      </rPr>
      <t xml:space="preserve">작업진입로(차량, 인부), 관람객 유도 동선 </t>
    </r>
  </si>
  <si>
    <t>(1) 도면에 표시하기 불편한 내용, 표기하였더라도 강조할 내용을 기술한다.</t>
  </si>
  <si>
    <t>(3) 당해 국가유산 보수 등 필요시 슬라이드 및 사진을 함께 제출한다.</t>
  </si>
  <si>
    <t>- 관련사실을 인용, 조사한 경우 발췌한 근거(문헌, 문서 등)를 명기한다.</t>
  </si>
  <si>
    <t>(2) 도급자의 개인사정에 의하여 납품기간 내에 납품할 수 없다고 인정될 때</t>
  </si>
  <si>
    <t>가구구조, 앙곡, 안허리곡, 추녀 규격 및 치수, 내밀기, 연목수, 기와골수, 기와크기, 용마루, 내림마루, 추녀마루, 머거불, 잡상 등</t>
  </si>
  <si>
    <t>다. 설계도서(설계도면, 시방서, 내역서, 수량산출서, 현황사진 등)를 CAD와 엑셀로 작성하여 저장한 CD-ROM 2개(또는 전산매체 등)</t>
  </si>
  <si>
    <t>노반, 복발, 찰주, 앙화, 보륜, 보개, 수연, 보주의 규격 및 치수</t>
  </si>
  <si>
    <t>- 자재적치장: 반출입 용이, 우수 및 습기로부터 보호, 통풍 원활</t>
  </si>
  <si>
    <t>합각벽, 막새, 망와, 귀면, 용두 등 장식기와 문양, 지붕곡, 처마곡</t>
  </si>
  <si>
    <t>※ 공사비 단위는 천원으로서 그 이하의 금액은 절삭하여 산정한다.</t>
  </si>
  <si>
    <t>(5) 배치도는 주변현황과의 관계를 종합적으로 측량에 의해 작성한다.</t>
  </si>
  <si>
    <t>(1) 아래 사항에 대하여서는 업무정지 등 기타 조치를 취할 수 있다.</t>
  </si>
  <si>
    <t>마. 설계도면에는 기본적인 도면과 상세도를 포함하여 작성토록 한다.</t>
  </si>
  <si>
    <t>중심선 치수, 안목 치수, 창호 및 개구부 위치, 층고 및 천장고</t>
  </si>
  <si>
    <t>사. 주요자재의 설계는 감독관과 협의하여 작성한다.(구두, 전신 등)</t>
  </si>
  <si>
    <t xml:space="preserve">    2.적용가산요율  =  가산요율 x 표준공사기간초과일수/365</t>
  </si>
  <si>
    <t>○ 역사적 건축물과 유적의 수리복원 및 관리에 관한 일반원칙(매뉴얼)</t>
  </si>
  <si>
    <t>(4) 수리대상이 있는 주변현황(전체 경역)을 조사하여 기술한다.</t>
  </si>
  <si>
    <t>(9) 필요 시 견본이나 견본시공에 관한 사항을 포함하여 기술한다.</t>
  </si>
  <si>
    <t>방위, 석조물조사, 도로, 지형, 고저차, 주변, 식재(지장물), 배수</t>
  </si>
  <si>
    <t>4) 설계도서 작성시 국가유산유형별 유의사항과 관련지침은 아래와 같다.</t>
  </si>
  <si>
    <t>사. 설계도는 현황도면과 보수계획도면으로 각각 구별하여 작성한다.</t>
  </si>
  <si>
    <t>옥개석 지붕면곡, 앙곡, 안허리곡 등, 기둥 흘림, 모접기, 석재 가공</t>
  </si>
  <si>
    <t>주요구조재(지대석, 상하층 기단, 옥개석 등)의 높이값, 기울기값</t>
  </si>
  <si>
    <t>- 착수와 동시에 본 과업에 종사한 기술자 명단을 제출하여야 한다.</t>
  </si>
  <si>
    <t>(1) 계약조항 및 과업지침에 의한 지시사항을 이행치 아니할 경우</t>
  </si>
  <si>
    <t>- 가설사무실: 식별용이, 출입시 항시 거처갈 수 있는 위치 설치</t>
  </si>
  <si>
    <t>(6) 재료 선택 등의 사항은 자문회의 등을 통하여 선정하도록 한다.</t>
  </si>
  <si>
    <r>
      <t>- 모든 조사는 퇴락</t>
    </r>
    <r>
      <rPr>
        <sz val="14"/>
        <color rgb="FF000000"/>
        <rFont val="MS Gothic"/>
        <family val="3"/>
        <charset val="128"/>
      </rPr>
      <t>․</t>
    </r>
    <r>
      <rPr>
        <sz val="14"/>
        <color rgb="FF000000"/>
        <rFont val="바탕체"/>
        <family val="1"/>
        <charset val="129"/>
      </rPr>
      <t>손상</t>
    </r>
    <r>
      <rPr>
        <sz val="14"/>
        <color rgb="FF000000"/>
        <rFont val="MS Gothic"/>
        <family val="3"/>
        <charset val="128"/>
      </rPr>
      <t>․</t>
    </r>
    <r>
      <rPr>
        <sz val="14"/>
        <color rgb="FF000000"/>
        <rFont val="바탕체"/>
        <family val="1"/>
        <charset val="129"/>
      </rPr>
      <t>손실된 부분과 보존상태가 양호한 부분이 함께 조사되어 도면</t>
    </r>
    <r>
      <rPr>
        <sz val="14"/>
        <color rgb="FF000000"/>
        <rFont val="MS Gothic"/>
        <family val="3"/>
        <charset val="128"/>
      </rPr>
      <t>․</t>
    </r>
    <r>
      <rPr>
        <sz val="14"/>
        <color rgb="FF000000"/>
        <rFont val="바탕체"/>
        <family val="1"/>
        <charset val="129"/>
      </rPr>
      <t>사진 등으로 나타나도록 하여야 한다.</t>
    </r>
  </si>
  <si>
    <t>① 목조건축물의 해체ㆍ보수
 * 연목이상 해체보수하는 경우로 도리와 공포까지 보수하는 경우
 * 익공계, 주심포, 다포계 건물의 신축, 복원, 이전
② 성곽, 탑 등 석조물
 * 성곽 : 가공석을 사용한 석성, 홍예의 전면 해체보수
 * 탑 등 석조물 : 고려시대 이전 석탑, 전탑 등 석조물의 전면 해체보수
③ 기념관, 전시관, 박물관 등 신축, 복원, 이전
④ 특수한 양식 등 고도의 전문성을 요하는 수리로 발주자가 인정한 경우</t>
  </si>
  <si>
    <t>다. 용역 수행자는 계약일로부터 1주일 이내에 착수계, 예정공정표를 제출하여야한다.(계약 규정에 따를 수 있다.)</t>
  </si>
  <si>
    <t>10) 가설건물은 각 공정에 맞추어 설치하도록 하고 아래사항을 고려하여 반영하며, 배치도에 위치 등을 표시한다.</t>
  </si>
  <si>
    <t>(7) 해당 공종과 관련되는 다른 공종과의 관계 및 공사전반에 관한 주의 사항 및 절차를 포함하여 기술한다.</t>
  </si>
  <si>
    <t>(8) 설계도면에 표시할 수 없는 공사의 범위, 정도, 규모, 배치 등을 보완하는 사항을 포함하여 기술한다.</t>
  </si>
  <si>
    <t>(※ 상부구조에 반자가 있는 경우 천장을 다룬 천장평면도와 가구구조를 보여주는 가구구조평면도로 구분하여 작성)</t>
  </si>
  <si>
    <t>(6) 상호 관련되는 기계, 전기, 통신설비 등은 대상시설물 및 주변여건 등을 검토 후 도면에 근거하여 작성한다.</t>
  </si>
  <si>
    <t>(1) 국가유산청 제정「국가유산수리표준시방서」내용을 기본으로 하고, 공사시방에 위임한 사항을 포함, 작성한다.</t>
  </si>
  <si>
    <t>다. 본 설계의 과업 중 발주청(보령시 관광과)에서 필요에 따라 자료 제출 요구시는 즉시 이에 응하여야 한다.</t>
  </si>
  <si>
    <t>(5) 설계도면과 상충되지 않도록 작성하며, 시설물별 시공기준 인용시 중복 또는 상충되는 내용이 없도록 기술한다.</t>
  </si>
  <si>
    <t>(10) 필요시 주요 구조재(보, 도리, 기둥, 포작, 조각물, 단청, 벽화, 석물 등)는 상세설계도를 작성한다.</t>
  </si>
  <si>
    <t>보수 대상 국가유산의 현황조사(보수 정도 및 범위 재료 등), 국가유산 훼손 원인 진단(육안조사, 촉진조사 등)</t>
  </si>
  <si>
    <t>(4) 표준규격 인용시에는 국내규격(KS 등)을 인용하고, 그 규격이 없을 경우에는 성능시방서 형태로 기술한다.</t>
  </si>
  <si>
    <t>(4) 수량산출조서 : 공사내용에 따른 산출은 필요시 부위별 도면을 표기하여 산출방법을 알기 쉽게 작성한다.</t>
  </si>
  <si>
    <t>(1) 모든 설계도면은 CAD화하여 도면 출력해서 납품함을 원칙으로 하며, 부득이한 경우 수잡업을 할 수 있다.</t>
  </si>
  <si>
    <t>사. 보호석축, 보호철책 등의 보호시설 여부, 위치, 종류, 안내판, 경고판, 이정표 등의 주변현황을 조사한다.</t>
  </si>
  <si>
    <t>(4) 용역 최종 보고서에는 참여자별 성명, 주민등록번호, 담당분야 및 참여기간, 소지 자격증 종류 등을 상세시 기록하여 추후 부실 설계부분이 있을 경우 책임자를 분명히 파악할 수 있도록 기록하여야 한다.</t>
  </si>
  <si>
    <t>다) 자재 및 기타 단가는 조달청 발행 가격정보를 기준으로 하고, 동 책자에 없는 단가는 한국과학기술연구소, 물가 정보자료, 한국생산성본부 각 대상원가조사 연구서에 의하여 원가 또는 거래실례가격을 적용한다.</t>
  </si>
  <si>
    <t>ccbaCpno</t>
  </si>
  <si>
    <t>ccbaCtcdNm</t>
  </si>
  <si>
    <t>ccbaMnm1</t>
  </si>
  <si>
    <t>ccbaMnm2</t>
  </si>
  <si>
    <t>공사종류(보험)</t>
  </si>
  <si>
    <t>절사단위(보험료)</t>
  </si>
  <si>
    <t>설계용역비(공급가액)</t>
  </si>
  <si>
    <t>사업비(VAT 제외)</t>
  </si>
  <si>
    <t>ccbaCncl</t>
  </si>
  <si>
    <t>실제공사기간(일)</t>
  </si>
  <si>
    <t>ccsiName</t>
  </si>
  <si>
    <t>ccbaQuan</t>
  </si>
  <si>
    <t>표준공사기간(일)</t>
  </si>
  <si>
    <t>gcodeName</t>
  </si>
  <si>
    <t>3. 사업내용 :</t>
  </si>
  <si>
    <t>ccmaName</t>
  </si>
  <si>
    <t>ccbaCtcd</t>
  </si>
  <si>
    <t>ccbaKdcd</t>
  </si>
  <si>
    <t>mcodeName</t>
  </si>
  <si>
    <t>bcodeName</t>
  </si>
  <si>
    <t>latitude</t>
  </si>
  <si>
    <t>ccbaPoss</t>
  </si>
  <si>
    <t>ccbaAsno</t>
  </si>
  <si>
    <t>ccbaLcad</t>
  </si>
  <si>
    <t>ccbaAsdt</t>
  </si>
  <si>
    <t>longitude</t>
  </si>
  <si>
    <t>ccbaAdmin</t>
  </si>
  <si>
    <t>scodeName</t>
  </si>
  <si>
    <t>ccceName</t>
  </si>
  <si>
    <t>하수종말처리장건설공사</t>
  </si>
  <si>
    <t>에너지저장시설공사</t>
  </si>
  <si>
    <t>imageUrl</t>
  </si>
  <si>
    <t>공  사  종  류</t>
  </si>
  <si>
    <t>ccbaCndt</t>
  </si>
  <si>
    <t>- 관계규정 -</t>
  </si>
  <si>
    <t>공동주택건설공사</t>
  </si>
  <si>
    <t>나. 공통 준수사항</t>
  </si>
  <si>
    <t>전기 및 통신도면</t>
  </si>
  <si>
    <t>Ⅱ. 과업의 범위</t>
  </si>
  <si>
    <t>5억원초과10억원이하</t>
  </si>
  <si>
    <t>관람집회시설공사</t>
  </si>
  <si>
    <t>재료생산 현황조사</t>
  </si>
  <si>
    <t xml:space="preserve">전기, 통신설비, </t>
  </si>
  <si>
    <t>1. 설계 일반조건</t>
  </si>
  <si>
    <t>토목, 조경 등 조사</t>
  </si>
  <si>
    <t>공용청사건설공사</t>
  </si>
  <si>
    <t>주두, 소로실측</t>
  </si>
  <si>
    <t>쓰레기소각로건설공사</t>
  </si>
  <si>
    <t>폐수처리장건설공사</t>
  </si>
  <si>
    <t>표준
공사
기간</t>
  </si>
  <si>
    <t>규격, 결구, 초각</t>
  </si>
  <si>
    <t>도리, 장여실측</t>
  </si>
  <si>
    <t>규격, 초각, 결구</t>
  </si>
  <si>
    <t>규격(운두와 굽)</t>
  </si>
  <si>
    <t>추녀, 사래실측</t>
  </si>
  <si>
    <t>경         비</t>
  </si>
  <si>
    <t xml:space="preserve">    - 공사비 </t>
  </si>
  <si>
    <t xml:space="preserve">1. 개략공사비 </t>
  </si>
  <si>
    <t>※ 하천연장 L=</t>
  </si>
  <si>
    <t>계      수</t>
  </si>
  <si>
    <t>재   료   비</t>
  </si>
  <si>
    <t>적      용</t>
  </si>
  <si>
    <t xml:space="preserve">실시설계요율의 </t>
  </si>
  <si>
    <t>1.지형현황측량</t>
  </si>
  <si>
    <t xml:space="preserve">   억원 까지 :</t>
  </si>
  <si>
    <t>□ 실시설계요율 산출</t>
  </si>
  <si>
    <t>실시설계용역 내역서</t>
  </si>
  <si>
    <t>(1+2)*10%</t>
  </si>
  <si>
    <t>노   무   비</t>
  </si>
  <si>
    <t>산  출  근  거</t>
  </si>
  <si>
    <t>200억원 초과</t>
  </si>
  <si>
    <t>□ 용 역 비:</t>
  </si>
  <si>
    <t>- 소유자/관리자</t>
  </si>
  <si>
    <t>지정유산 수리*</t>
  </si>
  <si>
    <t xml:space="preserve">1. 용 역 명 : </t>
  </si>
  <si>
    <t>4. 과업범위 :</t>
  </si>
  <si>
    <t xml:space="preserve">2. 소 재 지 : </t>
  </si>
  <si>
    <t xml:space="preserve">6. 용역기간 : </t>
  </si>
  <si>
    <t>원에 대한 요율 산정</t>
  </si>
  <si>
    <t>삭제하지 마세요</t>
  </si>
  <si>
    <t xml:space="preserve"> □ 예정공정표</t>
  </si>
  <si>
    <t>(3천만원 이하)</t>
  </si>
  <si>
    <t>공정으로 적용한다.</t>
  </si>
  <si>
    <t>2. 국가유산 정보</t>
  </si>
  <si>
    <t>(문화재 부문)</t>
  </si>
  <si>
    <t>옅은주황(13)</t>
  </si>
  <si>
    <t>옅은주황(11)</t>
  </si>
  <si>
    <t>연회색 (253)</t>
  </si>
  <si>
    <t>계단 폭·높이, 난간</t>
  </si>
  <si>
    <t>도면의 명칭 기재</t>
  </si>
  <si>
    <t>○○루 1층 평면도</t>
  </si>
  <si>
    <t>표제란 구성요소</t>
  </si>
  <si>
    <t>연목, 부연실측</t>
  </si>
  <si>
    <t>&lt;기술방법상의 기준&gt;</t>
  </si>
  <si>
    <t>○○종합건축사사무소</t>
  </si>
  <si>
    <t>프로젝트 명칭 기재</t>
  </si>
  <si>
    <t>도면 작성자 기재</t>
  </si>
  <si>
    <t>목재 단면, 기둥</t>
  </si>
  <si>
    <t>옅은회색 (9)</t>
  </si>
  <si>
    <t>(프로젝트 명)</t>
  </si>
  <si>
    <t>옥개석, 옥개받침석</t>
  </si>
  <si>
    <t>드러난 결구부 수정</t>
  </si>
  <si>
    <t>7. 일반 행정사항</t>
  </si>
  <si>
    <t>[실측 업무 항목]</t>
  </si>
  <si>
    <t>축척 Scale</t>
  </si>
  <si>
    <t>도면 검토자 기재</t>
  </si>
  <si>
    <t>2012.08.27</t>
  </si>
  <si>
    <t>개정 건별 기재</t>
  </si>
  <si>
    <t>도면 번호 기재</t>
  </si>
  <si>
    <t>요율_작은금액_억원</t>
  </si>
  <si>
    <t>책임기술자 기재</t>
  </si>
  <si>
    <t>주 기 NOTE</t>
  </si>
  <si>
    <t>(8) 원가계산</t>
  </si>
  <si>
    <t>(7) 품셈결정</t>
  </si>
  <si>
    <t>제도 Drawn by</t>
  </si>
  <si>
    <t>나. 설계도서 3부</t>
  </si>
  <si>
    <t>설계용역시행연월</t>
  </si>
  <si>
    <t>요율_큰금액_억원</t>
  </si>
  <si>
    <t>공사비</t>
  </si>
  <si>
    <t>5만</t>
  </si>
  <si>
    <t>)</t>
  </si>
  <si>
    <t>평지</t>
  </si>
  <si>
    <t>15만</t>
  </si>
  <si>
    <t>산지</t>
  </si>
  <si>
    <t>10만</t>
  </si>
  <si>
    <t>계</t>
  </si>
  <si>
    <t>20만</t>
  </si>
  <si>
    <t>-</t>
  </si>
  <si>
    <t>N0</t>
  </si>
  <si>
    <t>성</t>
  </si>
  <si>
    <t>+</t>
  </si>
  <si>
    <t>용도</t>
  </si>
  <si>
    <t>P =</t>
  </si>
  <si>
    <t>식</t>
  </si>
  <si>
    <t>팀 장</t>
  </si>
  <si>
    <t>시가지</t>
  </si>
  <si>
    <t>(</t>
  </si>
  <si>
    <t>:</t>
  </si>
  <si>
    <t>수량</t>
  </si>
  <si>
    <t>구릉지</t>
  </si>
  <si>
    <t>%</t>
  </si>
  <si>
    <t>단위</t>
  </si>
  <si>
    <t>=</t>
  </si>
  <si>
    <t>원</t>
  </si>
  <si>
    <t>(K)</t>
  </si>
  <si>
    <t>(P)</t>
  </si>
  <si>
    <t>1.</t>
  </si>
  <si>
    <t>(T)</t>
  </si>
  <si>
    <t>2만</t>
  </si>
  <si>
    <t>×</t>
  </si>
  <si>
    <t>적용</t>
  </si>
  <si>
    <t>(S)</t>
  </si>
  <si>
    <t>자. 시방서는 공종별로 작성하여야 한다.</t>
  </si>
  <si>
    <t xml:space="preserve">기단, 계단, 초석, 축대, 문양 등 </t>
  </si>
  <si>
    <t>- 일반시방서: 일반사항, 공종별 일반사항</t>
  </si>
  <si>
    <t>1. 원래의 양식을 변형시키지 않는다.</t>
  </si>
  <si>
    <t>프로젝트를 수행하고 있는 업체 명칭 기재</t>
  </si>
  <si>
    <t>가. 기본원칙 : 「문화재수리규범」의 준수</t>
  </si>
  <si>
    <t>도면 작성을 위한 실측 조사자 성명 기재</t>
  </si>
  <si>
    <t>마. 설계작성시 조사된 모든 자료 일체</t>
  </si>
  <si>
    <t>○ 국가유산수리 설계도서 작성기준(고시)</t>
  </si>
  <si>
    <t>퇴물림, 모접기, 소맷돌 문양, 가공정도</t>
  </si>
  <si>
    <t>2. 원래의 사용재료를 훼손시키지 않는다.</t>
  </si>
  <si>
    <t xml:space="preserve">규격, 보 단면, 보머리 초각, 결구 </t>
  </si>
  <si>
    <t>컨소시엄인 경우 대표회사 또는 참여사 기재</t>
  </si>
  <si>
    <t xml:space="preserve">  라. 적용요율(직선보간법에 의해 계산)</t>
  </si>
  <si>
    <t>총증감계수 = 표준작업량*K*S*P*T =</t>
  </si>
  <si>
    <t>거주자 및 관련자 면담, 건물 이력 확인</t>
  </si>
  <si>
    <t>(3) 칫수는 가능한 한 도면에 기입한다.</t>
  </si>
  <si>
    <t>바) 시정 명령을 이행하지 아니할 때</t>
  </si>
  <si>
    <t>○ 천연기념물(식물) 관리지침(훈령)</t>
  </si>
  <si>
    <t>○ 국가유산수리 등에 관한 업무지침(고시)</t>
  </si>
  <si>
    <t>창호 울거미, 살, 문인방·문선 결구</t>
  </si>
  <si>
    <t>1/2,500</t>
  </si>
  <si>
    <t>지형구분</t>
  </si>
  <si>
    <t>증가계수</t>
  </si>
  <si>
    <t>축    척</t>
  </si>
  <si>
    <t>규     격</t>
  </si>
  <si>
    <t>1/250</t>
  </si>
  <si>
    <t>1/1,000</t>
  </si>
  <si>
    <t>○ 실시설계</t>
  </si>
  <si>
    <t>부가세 포함</t>
  </si>
  <si>
    <t>부가세 제외</t>
  </si>
  <si>
    <t>배 적용한다</t>
  </si>
  <si>
    <t>금    액</t>
  </si>
  <si>
    <t>밀집시가지</t>
  </si>
  <si>
    <t>증감계수</t>
  </si>
  <si>
    <t>□ 용역개요</t>
  </si>
  <si>
    <t>적   용</t>
  </si>
  <si>
    <t>손해보험료</t>
  </si>
  <si>
    <t>공  사  비</t>
  </si>
  <si>
    <t>합     계</t>
  </si>
  <si>
    <t>단    가</t>
  </si>
  <si>
    <t>공     종</t>
  </si>
  <si>
    <t>작업량(㎡)</t>
  </si>
  <si>
    <t>(기준)</t>
  </si>
  <si>
    <t xml:space="preserve"> □ 내역서</t>
  </si>
  <si>
    <t>3천만원 이하</t>
  </si>
  <si>
    <t>현상변경 심의</t>
  </si>
  <si>
    <t>작업종류</t>
  </si>
  <si>
    <t>20억원</t>
  </si>
  <si>
    <t>200억원</t>
  </si>
  <si>
    <t>실시설계</t>
  </si>
  <si>
    <t>면적(㎡)</t>
  </si>
  <si>
    <t>자 료 수 집</t>
  </si>
  <si>
    <t>평균하폭 B=</t>
  </si>
  <si>
    <t>수정측량</t>
  </si>
  <si>
    <t>부가가치세</t>
  </si>
  <si>
    <t>비   고</t>
  </si>
  <si>
    <t>수  량</t>
  </si>
  <si>
    <t>5천만원</t>
  </si>
  <si>
    <t>소   계</t>
  </si>
  <si>
    <t>공사내용</t>
  </si>
  <si>
    <t>1/500</t>
  </si>
  <si>
    <t>- 국가유산명</t>
  </si>
  <si>
    <t>- 수량</t>
  </si>
  <si>
    <t>공 급 가 액</t>
  </si>
  <si>
    <t>표준작업량</t>
  </si>
  <si>
    <t>비  고</t>
  </si>
  <si>
    <t>(단수조정)</t>
  </si>
  <si>
    <t>10억원</t>
  </si>
  <si>
    <t>보  령  시</t>
  </si>
  <si>
    <t>1+2+3</t>
  </si>
  <si>
    <t>분류기준</t>
  </si>
  <si>
    <t>시설규모</t>
  </si>
  <si>
    <t>신규측량</t>
  </si>
  <si>
    <t>(표준작업량)</t>
  </si>
  <si>
    <t>실시설계비</t>
  </si>
  <si>
    <t>터널공사</t>
  </si>
  <si>
    <t>현 장 조 사</t>
  </si>
  <si>
    <t>하수도건설공사</t>
  </si>
  <si>
    <t>100억원</t>
  </si>
  <si>
    <t>관련법 검토</t>
  </si>
  <si>
    <t>국가유산명</t>
  </si>
  <si>
    <t>국가유산 정보</t>
  </si>
  <si>
    <t>댐축조공사</t>
  </si>
  <si>
    <t>설계내용</t>
  </si>
  <si>
    <t>가산요율</t>
  </si>
  <si>
    <t>도로공사</t>
  </si>
  <si>
    <t>성과품 작성</t>
  </si>
  <si>
    <t>50억원</t>
  </si>
  <si>
    <t>발전소건설공사</t>
  </si>
  <si>
    <t>지정일자</t>
  </si>
  <si>
    <t xml:space="preserve">설계검토 및 </t>
  </si>
  <si>
    <t>지하철공사</t>
  </si>
  <si>
    <t>regDt</t>
  </si>
  <si>
    <t>주변정비**</t>
  </si>
  <si>
    <t>- 내용</t>
  </si>
  <si>
    <t>- 구분</t>
  </si>
  <si>
    <t>시행연도</t>
  </si>
  <si>
    <t>30억원</t>
  </si>
  <si>
    <t>소관부서</t>
  </si>
  <si>
    <t>content</t>
  </si>
  <si>
    <t>1/5～</t>
  </si>
  <si>
    <t>설계변경 조건</t>
  </si>
  <si>
    <t>일위대가</t>
  </si>
  <si>
    <t>원가계산서</t>
  </si>
  <si>
    <t>항만공사</t>
  </si>
  <si>
    <t>기본요율</t>
  </si>
  <si>
    <t>도면목록표</t>
  </si>
  <si>
    <t>철도공사</t>
  </si>
  <si>
    <t>용역기간</t>
  </si>
  <si>
    <t>1/100</t>
  </si>
  <si>
    <t>간척공사</t>
  </si>
  <si>
    <t>1/20～</t>
  </si>
  <si>
    <t>5억원이하</t>
  </si>
  <si>
    <t>1/200～</t>
  </si>
  <si>
    <t>특기시방서</t>
  </si>
  <si>
    <t>문화재수리규범</t>
  </si>
  <si>
    <t>작성 내용</t>
  </si>
  <si>
    <t>요율산출 :</t>
  </si>
  <si>
    <t>공항건설공사</t>
  </si>
  <si>
    <t>교량공사</t>
  </si>
  <si>
    <t>시행연월</t>
  </si>
  <si>
    <t>가구구조평면도</t>
  </si>
  <si>
    <t>손해배상보험료</t>
  </si>
  <si>
    <t>(와복도)</t>
  </si>
  <si>
    <t>지붕평면도</t>
  </si>
  <si>
    <t>송전공사</t>
  </si>
  <si>
    <t>(종·횡단면)</t>
  </si>
  <si>
    <t>(앙시도)</t>
  </si>
  <si>
    <t>변전공사</t>
  </si>
  <si>
    <t>설계도면 표지</t>
  </si>
  <si>
    <t>대지단면도</t>
  </si>
  <si>
    <t>법규 검토</t>
  </si>
  <si>
    <t>공사시방서</t>
  </si>
  <si>
    <t>대공실측</t>
  </si>
  <si>
    <t>1/20 ～</t>
  </si>
  <si>
    <t>전시시설공사</t>
  </si>
  <si>
    <t>초석실측</t>
  </si>
  <si>
    <t>천장평면도</t>
  </si>
  <si>
    <t>1/200 ～</t>
  </si>
  <si>
    <t>작성 도서</t>
  </si>
  <si>
    <t>마루실측</t>
  </si>
  <si>
    <t xml:space="preserve">1/10～ </t>
  </si>
  <si>
    <t>공사여건 조사</t>
  </si>
  <si>
    <t>(예산서)</t>
  </si>
  <si>
    <t>기둥실측</t>
  </si>
  <si>
    <t>면담조사</t>
  </si>
  <si>
    <t>수량산출서</t>
  </si>
  <si>
    <t>설계개요</t>
  </si>
  <si>
    <t>예정공정표</t>
  </si>
  <si>
    <t>지붕부실측</t>
  </si>
  <si>
    <t>1/200</t>
  </si>
  <si>
    <t>1/100～</t>
  </si>
  <si>
    <t>보수범위 조사</t>
  </si>
  <si>
    <t>(종·횡단)</t>
  </si>
  <si>
    <t>기단부실측</t>
  </si>
  <si>
    <t>기단실측</t>
  </si>
  <si>
    <t>구조물 조사</t>
  </si>
  <si>
    <t>박공실측</t>
  </si>
  <si>
    <t>지장물 조사</t>
  </si>
  <si>
    <t>지붕평면실측</t>
  </si>
  <si>
    <t>조사 내용</t>
  </si>
  <si>
    <t>빨강 (1)</t>
  </si>
  <si>
    <t>첨차실측</t>
  </si>
  <si>
    <t>기법실측</t>
  </si>
  <si>
    <t>입면실측</t>
  </si>
  <si>
    <t>주요부분 상세</t>
  </si>
  <si>
    <t>기법상세</t>
  </si>
  <si>
    <t>축대쌓기</t>
  </si>
  <si>
    <t>축부실측</t>
  </si>
  <si>
    <t>평방실측</t>
  </si>
  <si>
    <t>연혁조사</t>
  </si>
  <si>
    <t>기타실측</t>
  </si>
  <si>
    <t>진한 입면선</t>
  </si>
  <si>
    <t>1/10～</t>
  </si>
  <si>
    <t>천장평면실측</t>
  </si>
  <si>
    <t>가. 현황사진</t>
  </si>
  <si>
    <t>제공실측</t>
  </si>
  <si>
    <t>구조실측</t>
  </si>
  <si>
    <t>기계설비도면</t>
  </si>
  <si>
    <t>라. 도면</t>
  </si>
  <si>
    <t>현황사진첩</t>
  </si>
  <si>
    <t>평면실측</t>
  </si>
  <si>
    <t>현지답사</t>
  </si>
  <si>
    <t>토목도면</t>
  </si>
  <si>
    <t>배수시설 조사</t>
  </si>
  <si>
    <t>ELE1</t>
  </si>
  <si>
    <t>공포실측</t>
  </si>
  <si>
    <t>문양실측</t>
  </si>
  <si>
    <t>배치실측</t>
  </si>
  <si>
    <t>창방실측</t>
  </si>
  <si>
    <t>초록 (3)</t>
  </si>
  <si>
    <t>지붕실측</t>
  </si>
  <si>
    <t>일자 Date</t>
  </si>
  <si>
    <t>계단실측</t>
  </si>
  <si>
    <t>A01-001</t>
  </si>
  <si>
    <t>ELE3</t>
  </si>
  <si>
    <t>다. 내역서</t>
  </si>
  <si>
    <t>파. 특기사항</t>
  </si>
  <si>
    <t>차. 보안대책</t>
  </si>
  <si>
    <t>연한 입면선</t>
  </si>
  <si>
    <t>SEC3</t>
  </si>
  <si>
    <t>SEC1</t>
  </si>
  <si>
    <t>SEC4</t>
  </si>
  <si>
    <t>회색 (8)</t>
  </si>
  <si>
    <t>공 사 명</t>
  </si>
  <si>
    <t>진홍 (6)</t>
  </si>
  <si>
    <t>상륜부실측</t>
  </si>
  <si>
    <t>흰색 (7)</t>
  </si>
  <si>
    <t>적심실측</t>
  </si>
  <si>
    <t>보통 입면선</t>
  </si>
  <si>
    <t>단면실측</t>
  </si>
  <si>
    <t>1점쇄선</t>
  </si>
  <si>
    <t>ELE2</t>
  </si>
  <si>
    <t>파랑 (5)</t>
  </si>
  <si>
    <t>SEC2</t>
  </si>
  <si>
    <t>하늘 (4)</t>
  </si>
  <si>
    <t>기와입면</t>
  </si>
  <si>
    <t>창호실측</t>
  </si>
  <si>
    <t>- 발간범위</t>
  </si>
  <si>
    <t>벽체실측</t>
  </si>
  <si>
    <t>솔리드해치</t>
  </si>
  <si>
    <t>주 단면선</t>
  </si>
  <si>
    <t>카. 하자책임</t>
  </si>
  <si>
    <t>8. 기타사항</t>
  </si>
  <si>
    <t>설계난이도</t>
  </si>
  <si>
    <t>타. 계약해제</t>
  </si>
  <si>
    <t>SOLD</t>
  </si>
  <si>
    <t>업 체 명</t>
  </si>
  <si>
    <t>ELE4</t>
  </si>
  <si>
    <t>노랑 (2)</t>
  </si>
  <si>
    <t>도 면 명</t>
  </si>
  <si>
    <t>특기사항 기재</t>
  </si>
  <si>
    <t>하. 기타사항</t>
  </si>
  <si>
    <t>9. 납품도서</t>
  </si>
  <si>
    <t>보조 단면선</t>
  </si>
  <si>
    <t>- 수록내용</t>
  </si>
  <si>
    <t>SEC5</t>
  </si>
  <si>
    <t>ELE5</t>
  </si>
  <si>
    <t>지자체명</t>
  </si>
  <si>
    <t>과업범위</t>
  </si>
  <si>
    <t>문비, 부조, 안상, 연화 등 문양이 있는 부재</t>
  </si>
  <si>
    <t>※ 복잡은 10% 가산, 단순은 10% 감산</t>
  </si>
  <si>
    <t>주요유구(기단, 계단, 초석, 축대 등)의 높이값</t>
  </si>
  <si>
    <t>적심 유형 분포, 구부재 크기·모양, 누리개</t>
  </si>
  <si>
    <t>4. 재료의 대체가 허용되는 경우는 다음과 같다.</t>
  </si>
  <si>
    <t>8. 수리는 필요불가결한 경우에 최소한으로 한다.</t>
  </si>
  <si>
    <t>4.2 보강 없이는 위험을 피할 수 없는 경우</t>
  </si>
  <si>
    <t>기단(내밀기, 마감), 계단(위치, 폭, 높이)</t>
  </si>
  <si>
    <t>기단, 계단, 초석, 축대 등 규격 및 치수</t>
  </si>
  <si>
    <t>출목 간격, 공포의 변위, 결구, 포벽 기울기</t>
  </si>
  <si>
    <t>○ 서원의 보존과 관리에 관한 일반지침(훈령)</t>
  </si>
  <si>
    <t>- 특별시방서: 공종별, 단계별 세부 시방서</t>
  </si>
  <si>
    <t>가) 산업통상자원부가 제정한 회계예규에 따른다.</t>
  </si>
  <si>
    <t xml:space="preserve">규격, 변위(양단, 중앙부), 결구, 창방뺄목 </t>
  </si>
  <si>
    <t>○ 성곽의 보존과 관리에 관한 일반지침(훈령)</t>
  </si>
  <si>
    <t>- 수리보고서 발간비용을 공사내역에 반영한다.</t>
  </si>
  <si>
    <t>- 작업량 P = 0.8 + {2/작업량(면적)}</t>
  </si>
  <si>
    <r>
      <t>y=0.9674×</t>
    </r>
    <r>
      <rPr>
        <b/>
        <vertAlign val="superscript"/>
        <sz val="10"/>
        <color rgb="FF000000"/>
        <rFont val="굴림체"/>
        <family val="3"/>
        <charset val="129"/>
      </rPr>
      <t>-0.169</t>
    </r>
  </si>
  <si>
    <r>
      <t>5</t>
    </r>
    <r>
      <rPr>
        <b/>
        <sz val="10"/>
        <color rgb="FF000000"/>
        <rFont val="휴먼명조"/>
        <family val="3"/>
        <charset val="129"/>
      </rPr>
      <t>일</t>
    </r>
  </si>
  <si>
    <r>
      <t>10</t>
    </r>
    <r>
      <rPr>
        <b/>
        <sz val="10"/>
        <color rgb="FF000000"/>
        <rFont val="휴먼명조"/>
        <family val="3"/>
        <charset val="129"/>
      </rPr>
      <t>일</t>
    </r>
  </si>
  <si>
    <r>
      <t>15</t>
    </r>
    <r>
      <rPr>
        <b/>
        <sz val="10"/>
        <color rgb="FF000000"/>
        <rFont val="휴먼명조"/>
        <family val="3"/>
        <charset val="129"/>
      </rPr>
      <t>일</t>
    </r>
  </si>
  <si>
    <r>
      <t>․</t>
    </r>
    <r>
      <rPr>
        <sz val="10"/>
        <color rgb="FF000000"/>
        <rFont val="굴림"/>
        <family val="3"/>
        <charset val="129"/>
      </rPr>
      <t>급배수, 도시가스, 소화설비 등 관련 도면</t>
    </r>
  </si>
  <si>
    <r>
      <t>- 창건, 중건년도, 특히 근랜의 보수정비내용(년도, 보수범위, 보수내용)에 관하여 상세히 조사</t>
    </r>
    <r>
      <rPr>
        <sz val="14"/>
        <color rgb="FF000000"/>
        <rFont val="MS Gothic"/>
        <family val="3"/>
        <charset val="128"/>
      </rPr>
      <t>․</t>
    </r>
    <r>
      <rPr>
        <sz val="14"/>
        <color rgb="FF000000"/>
        <rFont val="바탕체"/>
        <family val="1"/>
        <charset val="129"/>
      </rPr>
      <t>기록한다.</t>
    </r>
  </si>
  <si>
    <r>
      <t>․</t>
    </r>
    <r>
      <rPr>
        <sz val="10"/>
        <color rgb="FF000000"/>
        <rFont val="굴림"/>
        <family val="3"/>
        <charset val="129"/>
      </rPr>
      <t>공사의 특수성, 지역 여건, 공사 방법 등 공사대상의 특징 및 특이사항(※ [별표4]에 별도 기준 제시)</t>
    </r>
  </si>
  <si>
    <r>
      <t>(8) ㅁ, ㄱ, e자형 등 특수한 건물은 단면도를 종</t>
    </r>
    <r>
      <rPr>
        <sz val="14"/>
        <color rgb="FF000000"/>
        <rFont val="MS Gothic"/>
        <family val="3"/>
        <charset val="128"/>
      </rPr>
      <t>․</t>
    </r>
    <r>
      <rPr>
        <sz val="14"/>
        <color rgb="FF000000"/>
        <rFont val="바탕체"/>
        <family val="1"/>
        <charset val="129"/>
      </rPr>
      <t>횡 2부분이상(구조가 다를 경우 전부) 작성한다.</t>
    </r>
  </si>
  <si>
    <r>
      <t xml:space="preserve">가. </t>
    </r>
    <r>
      <rPr>
        <sz val="14"/>
        <color rgb="FF000000"/>
        <rFont val="바탕체"/>
        <family val="1"/>
        <charset val="129"/>
      </rPr>
      <t>각 단위사업별로 개별 수리보고서를 발간하여 제출</t>
    </r>
  </si>
  <si>
    <r>
      <t>- 당해 국가유산의 수리를 목적으로 할 경우, 국가유산 보존에 유</t>
    </r>
    <r>
      <rPr>
        <sz val="14"/>
        <color rgb="FF000000"/>
        <rFont val="MS Gothic"/>
        <family val="3"/>
        <charset val="128"/>
      </rPr>
      <t>․</t>
    </r>
    <r>
      <rPr>
        <sz val="14"/>
        <color rgb="FF000000"/>
        <rFont val="바탕체"/>
        <family val="1"/>
        <charset val="129"/>
      </rPr>
      <t>무형으로 영향을 줄 수 있는 환경, 지형, 배수관계, 경역 내의 건물배치현황, 관련 경역 면적 등을 조사</t>
    </r>
    <r>
      <rPr>
        <sz val="14"/>
        <color rgb="FF000000"/>
        <rFont val="MS Gothic"/>
        <family val="3"/>
        <charset val="128"/>
      </rPr>
      <t>․</t>
    </r>
    <r>
      <rPr>
        <sz val="14"/>
        <color rgb="FF000000"/>
        <rFont val="바탕체"/>
        <family val="1"/>
        <charset val="129"/>
      </rPr>
      <t>기록한다.</t>
    </r>
  </si>
  <si>
    <r>
      <t>․</t>
    </r>
    <r>
      <rPr>
        <sz val="10"/>
        <color rgb="FF000000"/>
        <rFont val="굴림"/>
        <family val="3"/>
        <charset val="129"/>
      </rPr>
      <t xml:space="preserve">주변현황 : 국가유산 보존에 유·무형으로 영향을 줄 수 있는 환경, 지형, 배수관계, 경역 내 건물배치 현황, 관련 경역 면적 등 공사와 관계있는 지형, 등고, 토질, 수목생태 등 </t>
    </r>
  </si>
  <si>
    <r>
      <t>․</t>
    </r>
    <r>
      <rPr>
        <sz val="10"/>
        <color rgb="FF000000"/>
        <rFont val="굴림"/>
        <family val="3"/>
        <charset val="129"/>
      </rPr>
      <t>훼손 및 변형 상태, 마감상태 및 사용자재 등</t>
    </r>
  </si>
  <si>
    <r>
      <t>․</t>
    </r>
    <r>
      <rPr>
        <sz val="10"/>
        <color rgb="FF000000"/>
        <rFont val="굴림"/>
        <family val="3"/>
        <charset val="129"/>
      </rPr>
      <t xml:space="preserve">일반사항, 설계설명서, 공사시방서, 예정공정표, 내역서, 수량산출서, 설계도면, 현황사진첩 </t>
    </r>
  </si>
  <si>
    <r>
      <t>․</t>
    </r>
    <r>
      <rPr>
        <sz val="10"/>
        <color rgb="FF000000"/>
        <rFont val="굴림"/>
        <family val="3"/>
        <charset val="129"/>
      </rPr>
      <t>보수범위, 마감 및 사용자재, 규격 및 치수, 결구 기법, 교체수량</t>
    </r>
    <r>
      <rPr>
        <sz val="10"/>
        <color rgb="FF000000"/>
        <rFont val="Times New Roman"/>
        <family val="1"/>
      </rPr>
      <t xml:space="preserve"> </t>
    </r>
    <r>
      <rPr>
        <sz val="10"/>
        <color rgb="FF000000"/>
        <rFont val="굴림"/>
        <family val="3"/>
        <charset val="129"/>
      </rPr>
      <t xml:space="preserve">등(필요시 범례표 작성) </t>
    </r>
  </si>
  <si>
    <r>
      <t>․</t>
    </r>
    <r>
      <rPr>
        <sz val="10"/>
        <color rgb="FF000000"/>
        <rFont val="굴림"/>
        <family val="3"/>
        <charset val="129"/>
      </rPr>
      <t xml:space="preserve">보수범위, 마감 및 사용자재, 규격 및 치수, 결구 기법 , 교체수량 등(필요시 범례표 작성) </t>
    </r>
  </si>
  <si>
    <r>
      <t>- 서원, 향교, 사당의 경우 관련된 인물, 위패 등 부속 관련유물에 대하여도 병행 조사</t>
    </r>
    <r>
      <rPr>
        <sz val="14"/>
        <color rgb="FF000000"/>
        <rFont val="MS Gothic"/>
        <family val="3"/>
        <charset val="128"/>
      </rPr>
      <t>․</t>
    </r>
    <r>
      <rPr>
        <sz val="14"/>
        <color rgb="FF000000"/>
        <rFont val="바탕체"/>
        <family val="1"/>
        <charset val="129"/>
      </rPr>
      <t>기록한다.</t>
    </r>
  </si>
  <si>
    <r>
      <t>․</t>
    </r>
    <r>
      <rPr>
        <sz val="10"/>
        <color rgb="FF000000"/>
        <rFont val="굴림"/>
        <family val="3"/>
        <charset val="129"/>
      </rPr>
      <t xml:space="preserve">보수범위, 마감 및 사용자재, 사용기와 규격, 잇기겹수, 교체수량 등 (필요시 범례표 작성) </t>
    </r>
  </si>
  <si>
    <r>
      <t>․</t>
    </r>
    <r>
      <rPr>
        <sz val="10"/>
        <color rgb="FF000000"/>
        <rFont val="굴림"/>
        <family val="3"/>
        <charset val="129"/>
      </rPr>
      <t>보수범위, 마감 및 사용자재, 규격 및 치수, 결구 기법, 교체수량 등(필요시 범례표 작성)</t>
    </r>
    <r>
      <rPr>
        <sz val="10"/>
        <color rgb="FF000000"/>
        <rFont val="Times New Roman"/>
        <family val="1"/>
      </rPr>
      <t xml:space="preserve"> </t>
    </r>
  </si>
  <si>
    <r>
      <t>․</t>
    </r>
    <r>
      <rPr>
        <sz val="10"/>
        <color rgb="FF000000"/>
        <rFont val="굴림"/>
        <family val="3"/>
        <charset val="129"/>
      </rPr>
      <t>가설덧집, 가설비계, 가설울타리, 가설사무실, 가설창고, 가설작업장, 공사안내판, 안전수칙판</t>
    </r>
  </si>
  <si>
    <r>
      <t>(3) 부표 : 자재구입 지역을 현실적으로 조사</t>
    </r>
    <r>
      <rPr>
        <sz val="14"/>
        <color rgb="FF000000"/>
        <rFont val="MS Gothic"/>
        <family val="3"/>
        <charset val="128"/>
      </rPr>
      <t>․</t>
    </r>
    <r>
      <rPr>
        <sz val="14"/>
        <color rgb="FF000000"/>
        <rFont val="바탕체"/>
        <family val="1"/>
        <charset val="129"/>
      </rPr>
      <t>적용한다.</t>
    </r>
  </si>
  <si>
    <r>
      <t>․</t>
    </r>
    <r>
      <rPr>
        <sz val="10"/>
        <color rgb="FF000000"/>
        <rFont val="굴림"/>
        <family val="3"/>
        <charset val="129"/>
      </rPr>
      <t>주단면도(종·횡단 2면 이상), 구조가 다른 부분 전부 작성</t>
    </r>
  </si>
  <si>
    <r>
      <t>․</t>
    </r>
    <r>
      <rPr>
        <sz val="10"/>
        <color rgb="FF000000"/>
        <rFont val="굴림"/>
        <family val="3"/>
        <charset val="129"/>
      </rPr>
      <t>국가유산구역 전체 배치도 작성(필요시 보수대상 국가유산 부분배치도 작성)</t>
    </r>
  </si>
  <si>
    <r>
      <t>아)</t>
    </r>
    <r>
      <rPr>
        <sz val="14"/>
        <color rgb="FF000000"/>
        <rFont val="바탕"/>
        <family val="1"/>
        <charset val="129"/>
      </rPr>
      <t xml:space="preserve"> </t>
    </r>
    <r>
      <rPr>
        <sz val="14"/>
        <color rgb="FF000000"/>
        <rFont val="바탕체"/>
        <family val="1"/>
        <charset val="129"/>
      </rPr>
      <t>설계도서 작성에 참여한 건설기술자의 업무내용을 상세히 기재하지 아니할 때</t>
    </r>
  </si>
  <si>
    <r>
      <t>․</t>
    </r>
    <r>
      <rPr>
        <sz val="10"/>
        <color rgb="FF000000"/>
        <rFont val="굴림"/>
        <family val="3"/>
        <charset val="129"/>
      </rPr>
      <t>ㄱ·ㄴ·ㅁ자형 등 복합평면 건물은 각 방향 입면 작성(추녀마루 입면도 포함)</t>
    </r>
  </si>
  <si>
    <r>
      <t>․</t>
    </r>
    <r>
      <rPr>
        <sz val="10"/>
        <color rgb="FF000000"/>
        <rFont val="굴림"/>
        <family val="3"/>
        <charset val="129"/>
      </rPr>
      <t>공사명, 지정별, 소재지, 공사목적, 사업지침, 소요예산, 기간, 규모, 물량, 자재현황, 자재원, 관급자재 등</t>
    </r>
  </si>
  <si>
    <r>
      <t>․</t>
    </r>
    <r>
      <rPr>
        <sz val="10"/>
        <color rgb="FF000000"/>
        <rFont val="굴림"/>
        <family val="3"/>
        <charset val="129"/>
      </rPr>
      <t xml:space="preserve">설계 및 공사개요, 대상 국가유산 위치·면적·구조, 공사내용 및 수량 등, 공사시 유의 및 참고사항, 반영사항 </t>
    </r>
  </si>
  <si>
    <r>
      <t>13) 책임기술자(실측</t>
    </r>
    <r>
      <rPr>
        <sz val="14"/>
        <color rgb="FF000000"/>
        <rFont val="MS Gothic"/>
        <family val="3"/>
        <charset val="128"/>
      </rPr>
      <t>․</t>
    </r>
    <r>
      <rPr>
        <sz val="14"/>
        <color rgb="FF000000"/>
        <rFont val="바탕체"/>
        <family val="1"/>
        <charset val="129"/>
      </rPr>
      <t>설계), 현황</t>
    </r>
    <r>
      <rPr>
        <sz val="14"/>
        <color rgb="FF000000"/>
        <rFont val="MS Gothic"/>
        <family val="3"/>
        <charset val="128"/>
      </rPr>
      <t>․</t>
    </r>
    <r>
      <rPr>
        <sz val="14"/>
        <color rgb="FF000000"/>
        <rFont val="바탕체"/>
        <family val="1"/>
        <charset val="129"/>
      </rPr>
      <t>고증 등 조사자, 설계도서 작성 실무자의 성명을 설계도서 도면상에 표시</t>
    </r>
  </si>
  <si>
    <r>
      <t>․</t>
    </r>
    <r>
      <rPr>
        <sz val="10"/>
        <color rgb="FF000000"/>
        <rFont val="굴림"/>
        <family val="3"/>
        <charset val="129"/>
      </rPr>
      <t>보수범위, 마감 및 사용자재, 규격 및 치수, 결구 기법, 구들·굴뚝 단면, 교체수량 등(필요시 범례표 작성)</t>
    </r>
  </si>
  <si>
    <r>
      <t>․</t>
    </r>
    <r>
      <rPr>
        <sz val="10"/>
        <color rgb="FF000000"/>
        <rFont val="굴림"/>
        <family val="3"/>
        <charset val="129"/>
      </rPr>
      <t>지반 정비 시 변경 대지의 고저</t>
    </r>
  </si>
  <si>
    <r>
      <t>․</t>
    </r>
    <r>
      <rPr>
        <sz val="10"/>
        <color rgb="FF000000"/>
        <rFont val="굴림"/>
        <family val="3"/>
        <charset val="129"/>
      </rPr>
      <t>건물 및 시설물 위치, 현황 고저</t>
    </r>
  </si>
  <si>
    <r>
      <t>․</t>
    </r>
    <r>
      <rPr>
        <sz val="10"/>
        <color rgb="FF000000"/>
        <rFont val="굴림"/>
        <family val="3"/>
        <charset val="129"/>
      </rPr>
      <t>건물 및 시설물 위치, 고저</t>
    </r>
  </si>
  <si>
    <r>
      <t>6. 설계도서 작성 시 유의사항</t>
    </r>
    <r>
      <rPr>
        <b/>
        <sz val="13"/>
        <color rgb="FF000000"/>
        <rFont val="바탕"/>
        <family val="1"/>
        <charset val="129"/>
      </rPr>
      <t xml:space="preserve"> </t>
    </r>
  </si>
  <si>
    <r>
      <t>․</t>
    </r>
    <r>
      <rPr>
        <sz val="10"/>
        <color rgb="FF000000"/>
        <rFont val="굴림"/>
        <family val="3"/>
        <charset val="129"/>
      </rPr>
      <t>배치도, 평면도, 입면도, 단면도 등에서 계획을 구체적으로 표시할 때</t>
    </r>
  </si>
  <si>
    <r>
      <t>․</t>
    </r>
    <r>
      <rPr>
        <sz val="10"/>
        <color rgb="FF000000"/>
        <rFont val="굴림"/>
        <family val="3"/>
        <charset val="129"/>
      </rPr>
      <t xml:space="preserve">공사명칭, 공사구분, 작성년월, 설계사무소 명칭, 발주처 명칭 </t>
    </r>
  </si>
  <si>
    <r>
      <t>․</t>
    </r>
    <r>
      <rPr>
        <sz val="14"/>
        <color rgb="FF000000"/>
        <rFont val="바탕체"/>
        <family val="1"/>
        <charset val="129"/>
      </rPr>
      <t xml:space="preserve"> 사업이 연차적으로 계속될 때에는 공사가 완료되는 해에 일괄하여 발간</t>
    </r>
  </si>
  <si>
    <r>
      <t>․</t>
    </r>
    <r>
      <rPr>
        <sz val="10"/>
        <color rgb="FF000000"/>
        <rFont val="굴림"/>
        <family val="3"/>
        <charset val="129"/>
      </rPr>
      <t>배치도, 평면도, 입면도, 단면도 등에서 현황을 구체적으로 표시할 때</t>
    </r>
  </si>
  <si>
    <r>
      <t>․</t>
    </r>
    <r>
      <rPr>
        <sz val="10"/>
        <color rgb="FF000000"/>
        <rFont val="굴림"/>
        <family val="3"/>
        <charset val="129"/>
      </rPr>
      <t>훼손 및 변형 상태, 마감상태 및 사용자재 등, 기울기와 변위 표시</t>
    </r>
  </si>
  <si>
    <r>
      <t>(6) 보수 및 교체가 필요한 개소, 범위를 도면에 구분</t>
    </r>
    <r>
      <rPr>
        <sz val="14"/>
        <color rgb="FF000000"/>
        <rFont val="MS Gothic"/>
        <family val="3"/>
        <charset val="128"/>
      </rPr>
      <t>․</t>
    </r>
    <r>
      <rPr>
        <sz val="14"/>
        <color rgb="FF000000"/>
        <rFont val="바탕체"/>
        <family val="1"/>
        <charset val="129"/>
      </rPr>
      <t>표시한다.</t>
    </r>
  </si>
  <si>
    <r>
      <t>․</t>
    </r>
    <r>
      <rPr>
        <sz val="10"/>
        <color rgb="FF000000"/>
        <rFont val="굴림"/>
        <family val="3"/>
        <charset val="129"/>
      </rPr>
      <t xml:space="preserve">상세도 목록 : 지정 및 기초, 기단 입면·퇴물림·소맷돌 문양, 구들·고래·아궁이, 기둥 모접기·쌍사·배흘림, 머름, 난간, 보 단면, 초각 상세도(공포, 보머리, 화반, 대공, 추녀머리, 게눈각 등), 창호, 안허리곡·앙곡, 마루곡, 합각벽, 장식기와 문양, 철물, 결구 등 </t>
    </r>
  </si>
  <si>
    <r>
      <t>○</t>
    </r>
    <r>
      <rPr>
        <sz val="14"/>
        <color rgb="FF000000"/>
        <rFont val="바탕"/>
        <family val="1"/>
        <charset val="129"/>
      </rPr>
      <t xml:space="preserve"> </t>
    </r>
    <r>
      <rPr>
        <sz val="14"/>
        <color rgb="FF000000"/>
        <rFont val="바탕체"/>
        <family val="1"/>
        <charset val="129"/>
      </rPr>
      <t>보수대상현황</t>
    </r>
  </si>
  <si>
    <r>
      <t>․</t>
    </r>
    <r>
      <rPr>
        <sz val="10"/>
        <color rgb="FF000000"/>
        <rFont val="굴림"/>
        <family val="3"/>
        <charset val="129"/>
      </rPr>
      <t>대상 국가유산 및 주변의 원경, 전경, 근경, 상세사진</t>
    </r>
  </si>
  <si>
    <r>
      <t>․</t>
    </r>
    <r>
      <rPr>
        <sz val="10"/>
        <color rgb="FF000000"/>
        <rFont val="굴림"/>
        <family val="3"/>
        <charset val="129"/>
      </rPr>
      <t>포장, 보도블럭 및 측구, 우·오수 등 관련 도면</t>
    </r>
  </si>
  <si>
    <r>
      <t>․</t>
    </r>
    <r>
      <rPr>
        <sz val="10"/>
        <color rgb="FF000000"/>
        <rFont val="굴림"/>
        <family val="3"/>
        <charset val="129"/>
      </rPr>
      <t>계획 부재 및 시공 상세도</t>
    </r>
  </si>
  <si>
    <r>
      <t>․</t>
    </r>
    <r>
      <rPr>
        <sz val="10"/>
        <color rgb="FF000000"/>
        <rFont val="굴림"/>
        <family val="3"/>
        <charset val="129"/>
      </rPr>
      <t>설계변경 사유</t>
    </r>
  </si>
  <si>
    <r>
      <t>․</t>
    </r>
    <r>
      <rPr>
        <sz val="10"/>
        <color rgb="FF000000"/>
        <rFont val="굴림"/>
        <family val="3"/>
        <charset val="129"/>
      </rPr>
      <t>현황 부재 상세도</t>
    </r>
  </si>
  <si>
    <r>
      <t>․</t>
    </r>
    <r>
      <rPr>
        <sz val="10"/>
        <color rgb="FF000000"/>
        <rFont val="굴림"/>
        <family val="3"/>
        <charset val="129"/>
      </rPr>
      <t>보수정비 이력(년도, 보수범위, 보수내용)</t>
    </r>
  </si>
  <si>
    <r>
      <t>․</t>
    </r>
    <r>
      <rPr>
        <sz val="10"/>
        <color rgb="FF000000"/>
        <rFont val="굴림"/>
        <family val="3"/>
        <charset val="129"/>
      </rPr>
      <t>창건, 중건년도, 관련인물, 관련 전설 등</t>
    </r>
  </si>
  <si>
    <r>
      <t>보수대상물의 구조, 보존상태, 퇴락상태, 퇴락부위, 훼손부위, 퇴락원인, 변형부분 등을 정확하고 자세하게 조사</t>
    </r>
    <r>
      <rPr>
        <sz val="10"/>
        <color rgb="FF000000"/>
        <rFont val="MS Gothic"/>
        <family val="3"/>
        <charset val="128"/>
      </rPr>
      <t>․</t>
    </r>
    <r>
      <rPr>
        <sz val="10"/>
        <color rgb="FF000000"/>
        <rFont val="바탕"/>
        <family val="1"/>
        <charset val="129"/>
      </rPr>
      <t>기록하는 것으로 해당 수리 국가유산의 수리방향, 보수범위, 처리방법 등을 설계도서에 제시, 시공의 적정성과 효율성을 기하여야 한다.</t>
    </r>
  </si>
  <si>
    <r>
      <t>․</t>
    </r>
    <r>
      <rPr>
        <sz val="10"/>
        <color rgb="FF000000"/>
        <rFont val="굴림"/>
        <family val="3"/>
        <charset val="129"/>
      </rPr>
      <t>보수대상현황 : 보수대상물의 구조, 보존상태, 퇴락부위, 훼손부위, 퇴락원인, 변형부분 등</t>
    </r>
  </si>
  <si>
    <r>
      <t>․</t>
    </r>
    <r>
      <rPr>
        <sz val="10"/>
        <color rgb="FF000000"/>
        <rFont val="굴림"/>
        <family val="3"/>
        <charset val="129"/>
      </rPr>
      <t>훼손 및 변형 상태, 마감상태 및 사용자재 등, 기둥·벽체의 기울기와 처마 처짐 표시　</t>
    </r>
  </si>
  <si>
    <r>
      <t>․</t>
    </r>
    <r>
      <rPr>
        <sz val="14"/>
        <color rgb="FF000000"/>
        <rFont val="바탕체"/>
        <family val="1"/>
        <charset val="129"/>
      </rPr>
      <t xml:space="preserve"> 국가 및 도지정국가유산보수정비, 충효열시설물 정비사업에 대하여는 수리보고서를 발간한다.</t>
    </r>
  </si>
  <si>
    <r>
      <t>- 해당 공사내용</t>
    </r>
    <r>
      <rPr>
        <sz val="14"/>
        <color rgb="FF000000"/>
        <rFont val="MS Gothic"/>
        <family val="3"/>
        <charset val="128"/>
      </rPr>
      <t>․</t>
    </r>
    <r>
      <rPr>
        <sz val="14"/>
        <color rgb="FF000000"/>
        <rFont val="바탕체"/>
        <family val="1"/>
        <charset val="129"/>
      </rPr>
      <t>내용에 따라 공종별로 실제 현장에서 적용</t>
    </r>
    <r>
      <rPr>
        <sz val="14"/>
        <color rgb="FF000000"/>
        <rFont val="MS Gothic"/>
        <family val="3"/>
        <charset val="128"/>
      </rPr>
      <t>․</t>
    </r>
    <r>
      <rPr>
        <sz val="14"/>
        <color rgb="FF000000"/>
        <rFont val="바탕체"/>
        <family val="1"/>
        <charset val="129"/>
      </rPr>
      <t>사용 가능한 시방내용을 기록한다.</t>
    </r>
  </si>
  <si>
    <r>
      <t xml:space="preserve">※ </t>
    </r>
    <r>
      <rPr>
        <b/>
        <u/>
        <sz val="14"/>
        <color rgb="FF000000"/>
        <rFont val="바탕체"/>
        <family val="1"/>
        <charset val="129"/>
      </rPr>
      <t>설계완료 전 미리 1부</t>
    </r>
    <r>
      <rPr>
        <sz val="14"/>
        <color rgb="FF000000"/>
        <rFont val="바탕체"/>
        <family val="1"/>
        <charset val="129"/>
      </rPr>
      <t xml:space="preserve">를 제출하여 관계공무원과 검토 </t>
    </r>
    <r>
      <rPr>
        <sz val="14"/>
        <color rgb="FF000000"/>
        <rFont val="MS Gothic"/>
        <family val="3"/>
        <charset val="128"/>
      </rPr>
      <t>․</t>
    </r>
    <r>
      <rPr>
        <sz val="14"/>
        <color rgb="FF000000"/>
        <rFont val="바탕체"/>
        <family val="1"/>
        <charset val="129"/>
      </rPr>
      <t xml:space="preserve"> 협의 후 최종 납품토록 할 것</t>
    </r>
  </si>
  <si>
    <r>
      <t>○</t>
    </r>
    <r>
      <rPr>
        <sz val="14"/>
        <color rgb="FF000000"/>
        <rFont val="바탕"/>
        <family val="1"/>
        <charset val="129"/>
      </rPr>
      <t xml:space="preserve"> </t>
    </r>
    <r>
      <rPr>
        <sz val="14"/>
        <color rgb="FF000000"/>
        <rFont val="바탕체"/>
        <family val="1"/>
        <charset val="129"/>
      </rPr>
      <t>연혁</t>
    </r>
  </si>
  <si>
    <r>
      <t>○</t>
    </r>
    <r>
      <rPr>
        <sz val="14"/>
        <color rgb="FF000000"/>
        <rFont val="바탕"/>
        <family val="1"/>
        <charset val="129"/>
      </rPr>
      <t xml:space="preserve"> </t>
    </r>
    <r>
      <rPr>
        <sz val="14"/>
        <color rgb="FF000000"/>
        <rFont val="바탕체"/>
        <family val="1"/>
        <charset val="129"/>
      </rPr>
      <t>주변현황</t>
    </r>
  </si>
  <si>
    <r>
      <t>○</t>
    </r>
    <r>
      <rPr>
        <sz val="14"/>
        <color rgb="FF000000"/>
        <rFont val="바탕"/>
        <family val="1"/>
        <charset val="129"/>
      </rPr>
      <t xml:space="preserve"> </t>
    </r>
    <r>
      <rPr>
        <sz val="14"/>
        <color rgb="FF000000"/>
        <rFont val="바탕체"/>
        <family val="1"/>
        <charset val="129"/>
      </rPr>
      <t>공사개요</t>
    </r>
  </si>
  <si>
    <r>
      <t>○</t>
    </r>
    <r>
      <rPr>
        <sz val="14"/>
        <color rgb="FF000000"/>
        <rFont val="바탕"/>
        <family val="1"/>
        <charset val="129"/>
      </rPr>
      <t xml:space="preserve"> </t>
    </r>
    <r>
      <rPr>
        <sz val="14"/>
        <color rgb="FF000000"/>
        <rFont val="바탕체"/>
        <family val="1"/>
        <charset val="129"/>
      </rPr>
      <t>시방내용</t>
    </r>
  </si>
  <si>
    <r>
      <t>․</t>
    </r>
    <r>
      <rPr>
        <sz val="10"/>
        <color rgb="FF000000"/>
        <rFont val="굴림"/>
        <family val="3"/>
        <charset val="129"/>
      </rPr>
      <t>각 공종별 품명, 규격, 단위수량, 합계</t>
    </r>
  </si>
  <si>
    <r>
      <t>․</t>
    </r>
    <r>
      <rPr>
        <sz val="10"/>
        <color rgb="FF000000"/>
        <rFont val="굴림"/>
        <family val="3"/>
        <charset val="129"/>
      </rPr>
      <t>보수, 복원 시 원형고증 관련 내용</t>
    </r>
  </si>
  <si>
    <r>
      <t>․</t>
    </r>
    <r>
      <rPr>
        <sz val="10"/>
        <color rgb="FF000000"/>
        <rFont val="굴림"/>
        <family val="3"/>
        <charset val="129"/>
      </rPr>
      <t xml:space="preserve">공사 일정, 작업량 등의 시공 계획 </t>
    </r>
  </si>
  <si>
    <r>
      <t>․</t>
    </r>
    <r>
      <rPr>
        <sz val="10"/>
        <color rgb="FF000000"/>
        <rFont val="굴림"/>
        <family val="3"/>
        <charset val="129"/>
      </rPr>
      <t>공사구분, 도면목차, 도면번호, 축척</t>
    </r>
  </si>
  <si>
    <r>
      <t>․</t>
    </r>
    <r>
      <rPr>
        <sz val="10"/>
        <color rgb="FF000000"/>
        <rFont val="굴림"/>
        <family val="3"/>
        <charset val="129"/>
      </rPr>
      <t>표준시방서에서 규정하지 않은 특기 사항</t>
    </r>
  </si>
  <si>
    <r>
      <t>․</t>
    </r>
    <r>
      <rPr>
        <sz val="10"/>
        <color rgb="FF000000"/>
        <rFont val="굴림"/>
        <family val="3"/>
        <charset val="129"/>
      </rPr>
      <t xml:space="preserve">건물·시설물·담장·석축·배수로 등 표기 </t>
    </r>
  </si>
  <si>
    <t>=data!B13</t>
    <phoneticPr fontId="87" type="noConversion"/>
  </si>
  <si>
    <t>손해배상보험료 산정</t>
    <phoneticPr fontId="87" type="noConversion"/>
  </si>
  <si>
    <t xml:space="preserve">  : 국토교통부고시 제2019-997호에 근거</t>
    <phoneticPr fontId="87" type="noConversion"/>
  </si>
  <si>
    <t xml:space="preserve">  ○  순용역금액</t>
    <phoneticPr fontId="87" type="noConversion"/>
  </si>
  <si>
    <t>:</t>
    <phoneticPr fontId="87" type="noConversion"/>
  </si>
  <si>
    <t>원</t>
    <phoneticPr fontId="87" type="noConversion"/>
  </si>
  <si>
    <t xml:space="preserve">  ○  적용요율</t>
    <phoneticPr fontId="87" type="noConversion"/>
  </si>
  <si>
    <t>기본요율 + 적용가산요율</t>
    <phoneticPr fontId="87" type="noConversion"/>
  </si>
  <si>
    <t xml:space="preserve">  ○  적용가산요율</t>
    <phoneticPr fontId="87" type="noConversion"/>
  </si>
  <si>
    <t>가산요율 x 표준공사기간초과일수/365일</t>
    <phoneticPr fontId="87" type="noConversion"/>
  </si>
  <si>
    <t xml:space="preserve">  ○  공제요율</t>
    <phoneticPr fontId="87" type="noConversion"/>
  </si>
  <si>
    <t>용역금액</t>
    <phoneticPr fontId="87" type="noConversion"/>
  </si>
  <si>
    <t>단위</t>
    <phoneticPr fontId="87" type="noConversion"/>
  </si>
  <si>
    <t>기본요율</t>
    <phoneticPr fontId="87" type="noConversion"/>
  </si>
  <si>
    <t>가산요율</t>
    <phoneticPr fontId="87" type="noConversion"/>
  </si>
  <si>
    <t>표준공사기간</t>
    <phoneticPr fontId="87" type="noConversion"/>
  </si>
  <si>
    <t>%</t>
    <phoneticPr fontId="87" type="noConversion"/>
  </si>
  <si>
    <t xml:space="preserve">  ○  보험료산정</t>
    <phoneticPr fontId="87" type="noConversion"/>
  </si>
  <si>
    <t>x</t>
    <phoneticPr fontId="87" type="noConversion"/>
  </si>
  <si>
    <t>계</t>
    <phoneticPr fontId="87" type="noConversion"/>
  </si>
  <si>
    <t>=</t>
    <phoneticPr fontId="87" type="noConversion"/>
  </si>
  <si>
    <t xml:space="preserve">  ○  손해배상보험료</t>
    <phoneticPr fontId="87" type="noConversion"/>
  </si>
  <si>
    <t>공사구분</t>
    <phoneticPr fontId="87" type="noConversion"/>
  </si>
  <si>
    <t>보령 성주사지</t>
  </si>
  <si>
    <t>ㅇㅇㅇㅇㅇㅇㅇㅇㅇ</t>
  </si>
  <si>
    <t>ㅇㅇㅇㅇㅇㅇㅇㅇㅇㅇㅇ</t>
  </si>
  <si>
    <t>ㅇㅇㅇㅇㅇㅇㅇㅇㅇㅇㅇㅇ</t>
  </si>
  <si>
    <t>천원미만 절사</t>
  </si>
  <si>
    <t>6</t>
  </si>
  <si>
    <t>3120</t>
  </si>
  <si>
    <t>사적</t>
  </si>
  <si>
    <t>保寧 聖住寺址</t>
  </si>
  <si>
    <t>충청남도</t>
  </si>
  <si>
    <t>보령시</t>
  </si>
  <si>
    <t>13</t>
  </si>
  <si>
    <t>34</t>
  </si>
  <si>
    <t>0003070000000</t>
  </si>
  <si>
    <t>N</t>
  </si>
  <si>
    <t>1333403070000</t>
  </si>
  <si>
    <t>126.655785512252</t>
  </si>
  <si>
    <t>36.344523869216</t>
  </si>
  <si>
    <t>2025-06-26 18:46:09</t>
  </si>
  <si>
    <t>유적건조물</t>
  </si>
  <si>
    <t>종교신앙</t>
  </si>
  <si>
    <t>불교</t>
  </si>
  <si>
    <t>사찰</t>
  </si>
  <si>
    <t>67,295㎡</t>
  </si>
  <si>
    <t>19840813</t>
  </si>
  <si>
    <t>충남 보령시 성주면 성주리 72번지</t>
  </si>
  <si>
    <t>신라 문성왕</t>
  </si>
  <si>
    <t>보령시 등</t>
  </si>
  <si>
    <t>http://www.khs.go.kr/unisearch/images/history_site/1626604.jpg</t>
  </si>
  <si>
    <t>보령 성주산 남쪽 기슭에 있는 9산선문의 하나인 성주사가 있던 자리이다.
 백제 법왕 때 처음 지어졌는데 당시에는 오합사(烏合寺)라고 부르다가, 신라 문성왕때 당나라에서 돌아온 낭혜화상이 절을 크게 중창하면서 성주사라고 하였다. 산골에 자리잡고 있는 절이지만 통일신라시대의 다른 절과는 달리 평지에 자리하는 가람의 형식을 택하였다.
 절터에는 남에서부터 차례로 중문처, 석등, 5층석탑(보물), 금당건물과 그뒤에 동서로 나란히 서있는 동삼층석탑, 중앙 3층석탑(보물), 서 3층석탑(보물)가 있고 그 뒤에  강당이 자리하고 있다. 최치원의 사산비문 중 하나인 낭혜화상백월보광탑비(국보)도 절의 북서쪽에 있다.
 발굴조사결과 건물의 초석, 통일신라시대의 흙으로 빚은 불상의 머리, 백제·통일신라·고려시대의 기와 등 많은 유물이 출토되었다.
 성주사는 당대 최대의 사찰이었으며, 최치원이 쓴 낭혜화상백월보광탑비는 신라 석비 중 가장 큰 작품으로 매우 중요한 학술적 가치를 지닌다.
&amp;lt;br/&amp;gt;&amp;lt;b&amp;gt;※(성주사지 → 보령 성주사지)으로 명칭변경 되었습니다.(2011.07.28 고시)&amp;lt;/b&amp;gt;</t>
  </si>
  <si>
    <t>관광과</t>
  </si>
  <si>
    <t>ㅇㅇㅇㅇㅇㅇㅇㅇㅇㅇㅇㅇㅇㅇㅇㅇ</t>
  </si>
  <si>
    <t>2025-11</t>
  </si>
  <si>
    <t>용역기간</t>
    <phoneticPr fontId="87" type="noConversion"/>
  </si>
  <si>
    <t>표준공사기간 UP/down</t>
    <phoneticPr fontId="87" type="noConversion"/>
  </si>
  <si>
    <t>구분</t>
    <phoneticPr fontId="87" type="noConversion"/>
  </si>
  <si>
    <t>공사구간_낮은금액</t>
    <phoneticPr fontId="87" type="noConversion"/>
  </si>
  <si>
    <t>공사구간_높은금액</t>
    <phoneticPr fontId="87" type="noConversion"/>
  </si>
  <si>
    <t>=LOOKUP(ROUNDDOWN(V9*0.00000001,1),AL4:AL14,AM4:AM12)'</t>
    <phoneticPr fontId="87" type="noConversion"/>
  </si>
  <si>
    <t>=VLOOKUP(M7,data!$A$1:$B$270,2,0)</t>
    <phoneticPr fontId="87" type="noConversion"/>
  </si>
  <si>
    <t>'기초2(손해배상공제요율)'!$W$6:$AW$31</t>
    <phoneticPr fontId="87" type="noConversion"/>
  </si>
  <si>
    <t xml:space="preserve">  ○  예정용역기간    :</t>
    <phoneticPr fontId="87" type="noConversion"/>
  </si>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</sst>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41" formatCode="_-* #,##0_-;\-* #,##0_-;_-* &quot;-&quot;_-;_-@_-"/>
    <numFmt numFmtId="24" formatCode="\$#,##0_);[Red]\(\$#,##0\)"/>
    <numFmt numFmtId="176" formatCode="_-* #,##0.0_-;\-* #,##0.0_-;_-* &quot;-&quot;_-;_-@_-"/>
    <numFmt numFmtId="177" formatCode="#,##0_ "/>
    <numFmt numFmtId="178" formatCode="_-* #,##0.000_-;\-* #,##0.000_-;_-* &quot;-&quot;_-;_-@_-"/>
    <numFmt numFmtId="179" formatCode="[DBNum4][$-412]&quot;일금&quot;\ General&quot;원&quot;&quot;정&quot;"/>
    <numFmt numFmtId="180" formatCode="\(&quot;₩&quot;###,###,###\)"/>
    <numFmt numFmtId="181" formatCode="&quot;₩&quot;###,###,###"/>
    <numFmt numFmtId="182" formatCode="_-* #,##0.0000000_-;\-* #,##0.0000000_-;_-* &quot;-&quot;??_-;_-@_-"/>
    <numFmt numFmtId="183" formatCode="0.000"/>
    <numFmt numFmtId="184" formatCode="_ * #,##0_ ;_ * \-#,##0_ ;_ * &quot;-&quot;_ ;_ @_ "/>
    <numFmt numFmtId="185" formatCode="_-* #,##0.00_-;\-* #,##0.00_-;_-* &quot;-&quot;_-;_-@_-"/>
    <numFmt numFmtId="186" formatCode="#,###"/>
    <numFmt numFmtId="187" formatCode="_-* #,##0_-;\-* #,##0_-;_-* &quot;-&quot;??_-;_-@_-"/>
    <numFmt numFmtId="188" formatCode="0_);[Red]\(0\)"/>
    <numFmt numFmtId="189" formatCode="0.00_ "/>
    <numFmt numFmtId="190" formatCode="mm&quot;월&quot;\ dd&quot;일&quot;"/>
    <numFmt numFmtId="191" formatCode="0&quot;m&quot;"/>
    <numFmt numFmtId="192" formatCode="0,000&quot;㎡&quot;"/>
    <numFmt numFmtId="193" formatCode="0,000&quot;) =&quot;"/>
    <numFmt numFmtId="194" formatCode="&quot;(&quot;\ 0\ &quot;/ &quot;"/>
    <numFmt numFmtId="195" formatCode="[DBNum4][$-412]&quot;금&quot;\ General&quot;원&quot;"/>
    <numFmt numFmtId="196" formatCode="yyyy\/mm"/>
    <numFmt numFmtId="197" formatCode="yyyy\.\ mm\."/>
    <numFmt numFmtId="198" formatCode="yyyy&quot;년&quot;\ mm&quot;월&quot;"/>
    <numFmt numFmtId="199" formatCode="0&quot;매&quot;"/>
    <numFmt numFmtId="200" formatCode="#,##0_);[Red]\(#,##0\)"/>
    <numFmt numFmtId="201" formatCode="#,##0.000_);[Red]\(#,##0.000\)"/>
    <numFmt numFmtId="202" formatCode="&quot;1/&quot;0&quot;)&quot;"/>
    <numFmt numFmtId="203" formatCode="#,##0;[Red]#,##0"/>
    <numFmt numFmtId="204" formatCode="0.000_);[Red]\(0.000\)"/>
    <numFmt numFmtId="205" formatCode="0.000_ "/>
    <numFmt numFmtId="206" formatCode="_-* #,##0.0000_-;\-* #,##0.0000_-;_-* &quot;-&quot;_-;_-@_-"/>
  </numFmts>
  <fonts count="105">
    <font>
      <sz val="11"/>
      <color rgb="FF000000"/>
      <name val="돋움"/>
    </font>
    <font>
      <sz val="10"/>
      <color rgb="FF000000"/>
      <name val="MS Sans Serif"/>
    </font>
    <font>
      <sz val="12"/>
      <color rgb="FF000000"/>
      <name val="바탕체"/>
      <family val="1"/>
      <charset val="129"/>
    </font>
    <font>
      <sz val="11"/>
      <color rgb="FF000000"/>
      <name val="맑은 고딕"/>
      <family val="3"/>
      <charset val="129"/>
    </font>
    <font>
      <u/>
      <sz val="11"/>
      <color rgb="FF0000FF"/>
      <name val="돋움"/>
      <family val="3"/>
      <charset val="129"/>
    </font>
    <font>
      <sz val="10"/>
      <color rgb="FF000000"/>
      <name val="가는으뜸체"/>
      <family val="3"/>
      <charset val="129"/>
    </font>
    <font>
      <sz val="9"/>
      <color rgb="FF000000"/>
      <name val="돋움"/>
      <family val="3"/>
      <charset val="129"/>
    </font>
    <font>
      <sz val="10"/>
      <color rgb="FF000000"/>
      <name val="맑은 고딕"/>
      <family val="3"/>
      <charset val="129"/>
    </font>
    <font>
      <b/>
      <sz val="12"/>
      <color rgb="FF000000"/>
      <name val="굴림체"/>
      <family val="3"/>
      <charset val="129"/>
    </font>
    <font>
      <sz val="10"/>
      <color rgb="FF000000"/>
      <name val="굴림체"/>
      <family val="3"/>
      <charset val="129"/>
    </font>
    <font>
      <sz val="14"/>
      <color rgb="FF000000"/>
      <name val="HY울릉도M"/>
      <family val="1"/>
      <charset val="129"/>
    </font>
    <font>
      <sz val="12"/>
      <color rgb="FF000000"/>
      <name val="굴림"/>
      <family val="3"/>
      <charset val="129"/>
    </font>
    <font>
      <sz val="11"/>
      <color rgb="FF000000"/>
      <name val="굴림체"/>
      <family val="3"/>
      <charset val="129"/>
    </font>
    <font>
      <sz val="13"/>
      <color rgb="FF000000"/>
      <name val="HY헤드라인M"/>
      <family val="1"/>
      <charset val="129"/>
    </font>
    <font>
      <sz val="11"/>
      <color rgb="FF000000"/>
      <name val="굴림"/>
      <family val="3"/>
      <charset val="129"/>
    </font>
    <font>
      <b/>
      <sz val="10"/>
      <color rgb="FF000000"/>
      <name val="굴림체"/>
      <family val="3"/>
      <charset val="129"/>
    </font>
    <font>
      <sz val="16"/>
      <color rgb="FF000000"/>
      <name val="HY울릉도M"/>
      <family val="1"/>
      <charset val="129"/>
    </font>
    <font>
      <sz val="10"/>
      <color rgb="FFFF0000"/>
      <name val="굴림체"/>
      <family val="3"/>
      <charset val="129"/>
    </font>
    <font>
      <sz val="12"/>
      <color rgb="FF000000"/>
      <name val="굴림체"/>
      <family val="3"/>
      <charset val="129"/>
    </font>
    <font>
      <sz val="11"/>
      <color rgb="FFFF0000"/>
      <name val="굴림체"/>
      <family val="3"/>
      <charset val="129"/>
    </font>
    <font>
      <b/>
      <sz val="22"/>
      <color rgb="FF000000"/>
      <name val="굴림체"/>
      <family val="3"/>
      <charset val="129"/>
    </font>
    <font>
      <sz val="28"/>
      <color rgb="FF000000"/>
      <name val="굴림체"/>
      <family val="3"/>
      <charset val="129"/>
    </font>
    <font>
      <b/>
      <sz val="20"/>
      <color rgb="FF000000"/>
      <name val="굴림체"/>
      <family val="3"/>
      <charset val="129"/>
    </font>
    <font>
      <sz val="14"/>
      <color rgb="FF000000"/>
      <name val="굴림체"/>
      <family val="3"/>
      <charset val="129"/>
    </font>
    <font>
      <b/>
      <sz val="13"/>
      <color rgb="FF000000"/>
      <name val="굴림체"/>
      <family val="3"/>
      <charset val="129"/>
    </font>
    <font>
      <sz val="14"/>
      <color rgb="FFFF0000"/>
      <name val="굴림체"/>
      <family val="3"/>
      <charset val="129"/>
    </font>
    <font>
      <b/>
      <sz val="12"/>
      <color rgb="FFFF0000"/>
      <name val="굴림체"/>
      <family val="3"/>
      <charset val="129"/>
    </font>
    <font>
      <b/>
      <sz val="11"/>
      <color rgb="FF000000"/>
      <name val="굴림체"/>
      <family val="3"/>
      <charset val="129"/>
    </font>
    <font>
      <sz val="10"/>
      <color rgb="FF000000"/>
      <name val="돋음"/>
      <family val="3"/>
      <charset val="129"/>
    </font>
    <font>
      <sz val="10"/>
      <color rgb="FF000000"/>
      <name val="굴림"/>
      <family val="3"/>
      <charset val="129"/>
    </font>
    <font>
      <b/>
      <sz val="11"/>
      <color rgb="FF000000"/>
      <name val="굴림"/>
      <family val="3"/>
      <charset val="129"/>
    </font>
    <font>
      <b/>
      <sz val="10"/>
      <color rgb="FF000000"/>
      <name val="굴림"/>
      <family val="3"/>
      <charset val="129"/>
    </font>
    <font>
      <b/>
      <sz val="12"/>
      <color rgb="FF000000"/>
      <name val="굴림"/>
      <family val="3"/>
      <charset val="129"/>
    </font>
    <font>
      <b/>
      <sz val="10"/>
      <color rgb="FFFFFFFF"/>
      <name val="굴림"/>
      <family val="3"/>
      <charset val="129"/>
    </font>
    <font>
      <sz val="10"/>
      <color rgb="FF000000"/>
      <name val="돋움"/>
      <family val="3"/>
      <charset val="129"/>
    </font>
    <font>
      <b/>
      <sz val="10"/>
      <color rgb="FF000000"/>
      <name val="맑은 고딕"/>
      <family val="3"/>
      <charset val="129"/>
    </font>
    <font>
      <b/>
      <sz val="26"/>
      <color rgb="FF000000"/>
      <name val="굴림체"/>
      <family val="3"/>
      <charset val="129"/>
    </font>
    <font>
      <b/>
      <sz val="17"/>
      <color rgb="FF000000"/>
      <name val="굴림체"/>
      <family val="3"/>
      <charset val="129"/>
    </font>
    <font>
      <b/>
      <sz val="15"/>
      <color rgb="FF000000"/>
      <name val="굴림체"/>
      <family val="3"/>
      <charset val="129"/>
    </font>
    <font>
      <b/>
      <sz val="10"/>
      <color rgb="FF000000"/>
      <name val="돋움"/>
      <family val="3"/>
      <charset val="129"/>
    </font>
    <font>
      <b/>
      <sz val="10"/>
      <color rgb="FF000000"/>
      <name val="휴먼명조"/>
      <family val="3"/>
      <charset val="129"/>
    </font>
    <font>
      <b/>
      <sz val="10"/>
      <color rgb="FF000000"/>
      <name val="HCI Poppy"/>
    </font>
    <font>
      <sz val="10"/>
      <color rgb="FF000000"/>
      <name val="휴먼명조"/>
      <family val="3"/>
      <charset val="129"/>
    </font>
    <font>
      <vertAlign val="subscript"/>
      <sz val="11"/>
      <color rgb="FF000000"/>
      <name val="돋움"/>
      <family val="3"/>
      <charset val="129"/>
    </font>
    <font>
      <sz val="11"/>
      <color rgb="FF000000"/>
      <name val="HCI Poppy"/>
    </font>
    <font>
      <sz val="10"/>
      <color rgb="FF000000"/>
      <name val="HCI Poppy"/>
    </font>
    <font>
      <b/>
      <sz val="18"/>
      <color rgb="FF000000"/>
      <name val="돋움"/>
      <family val="3"/>
      <charset val="129"/>
    </font>
    <font>
      <sz val="16"/>
      <color rgb="FF000000"/>
      <name val="바탕체"/>
      <family val="1"/>
      <charset val="129"/>
    </font>
    <font>
      <b/>
      <sz val="16"/>
      <color rgb="FF000000"/>
      <name val="바탕체"/>
      <family val="1"/>
      <charset val="129"/>
    </font>
    <font>
      <sz val="8"/>
      <color rgb="FF000000"/>
      <name val="돋움"/>
      <family val="3"/>
      <charset val="129"/>
    </font>
    <font>
      <sz val="15"/>
      <color rgb="FF000000"/>
      <name val="휴먼둥근헤드라인"/>
      <family val="1"/>
      <charset val="129"/>
    </font>
    <font>
      <sz val="14"/>
      <color rgb="FF000000"/>
      <name val="바탕체"/>
      <family val="1"/>
      <charset val="129"/>
    </font>
    <font>
      <b/>
      <sz val="14"/>
      <color rgb="FF000000"/>
      <name val="바탕체"/>
      <family val="1"/>
      <charset val="129"/>
    </font>
    <font>
      <sz val="10"/>
      <color rgb="FF000000"/>
      <name val="바탕"/>
      <family val="1"/>
      <charset val="129"/>
    </font>
    <font>
      <sz val="10"/>
      <color rgb="FF000000"/>
      <name val="바탕체"/>
      <family val="1"/>
      <charset val="129"/>
    </font>
    <font>
      <b/>
      <sz val="10"/>
      <color rgb="FF000000"/>
      <name val="HY견고딕"/>
      <family val="1"/>
      <charset val="129"/>
    </font>
    <font>
      <b/>
      <sz val="14"/>
      <color rgb="FF000000"/>
      <name val="바탕"/>
      <family val="1"/>
      <charset val="129"/>
    </font>
    <font>
      <b/>
      <sz val="10"/>
      <color rgb="FF000000"/>
      <name val="Times New Roman"/>
      <family val="1"/>
    </font>
    <font>
      <sz val="10"/>
      <color rgb="FF000000"/>
      <name val="MS Gothic"/>
      <family val="3"/>
      <charset val="128"/>
    </font>
    <font>
      <sz val="10"/>
      <color rgb="FF000000"/>
      <name val="Times New Roman"/>
      <family val="1"/>
    </font>
    <font>
      <sz val="6"/>
      <color rgb="FF000000"/>
      <name val="바탕"/>
      <family val="1"/>
      <charset val="129"/>
    </font>
    <font>
      <b/>
      <sz val="11"/>
      <color rgb="FF000000"/>
      <name val="바탕"/>
      <family val="1"/>
      <charset val="129"/>
    </font>
    <font>
      <b/>
      <sz val="3"/>
      <color rgb="FF000000"/>
      <name val="바탕"/>
      <family val="1"/>
      <charset val="129"/>
    </font>
    <font>
      <sz val="14"/>
      <color rgb="FF000000"/>
      <name val="바탕"/>
      <family val="1"/>
      <charset val="129"/>
    </font>
    <font>
      <sz val="14"/>
      <color rgb="FF000000"/>
      <name val="MS Gothic"/>
      <family val="3"/>
      <charset val="128"/>
    </font>
    <font>
      <b/>
      <sz val="26"/>
      <color rgb="FF000000"/>
      <name val="HY헤드라인M"/>
      <family val="1"/>
      <charset val="129"/>
    </font>
    <font>
      <b/>
      <sz val="14"/>
      <color rgb="FF000000"/>
      <name val="굴림체"/>
      <family val="3"/>
      <charset val="129"/>
    </font>
    <font>
      <b/>
      <sz val="16"/>
      <color rgb="FF000000"/>
      <name val="HY헤드라인M"/>
      <family val="1"/>
      <charset val="129"/>
    </font>
    <font>
      <sz val="16"/>
      <color rgb="FF000000"/>
      <name val="HY헤드라인M"/>
      <family val="1"/>
      <charset val="129"/>
    </font>
    <font>
      <u/>
      <sz val="25"/>
      <color rgb="FF000000"/>
      <name val="휴먼둥근헤드라인"/>
      <family val="1"/>
      <charset val="129"/>
    </font>
    <font>
      <sz val="28"/>
      <color rgb="FF000000"/>
      <name val="HY헤드라인M"/>
      <family val="1"/>
      <charset val="129"/>
    </font>
    <font>
      <b/>
      <sz val="9"/>
      <color rgb="FF000000"/>
      <name val="굴림"/>
      <family val="3"/>
      <charset val="129"/>
    </font>
    <font>
      <b/>
      <u/>
      <sz val="25"/>
      <color rgb="FF000000"/>
      <name val="휴먼둥근헤드라인"/>
      <family val="1"/>
      <charset val="129"/>
    </font>
    <font>
      <b/>
      <sz val="10"/>
      <color rgb="FF000000"/>
      <name val="Courier New"/>
      <family val="3"/>
    </font>
    <font>
      <sz val="11"/>
      <color rgb="FF000000"/>
      <name val="바탕"/>
      <family val="1"/>
      <charset val="129"/>
    </font>
    <font>
      <b/>
      <sz val="12"/>
      <color rgb="FF000000"/>
      <name val="바탕"/>
      <family val="1"/>
      <charset val="129"/>
    </font>
    <font>
      <b/>
      <sz val="14"/>
      <color rgb="FF000000"/>
      <name val="HY헤드라인M"/>
      <family val="1"/>
      <charset val="129"/>
    </font>
    <font>
      <b/>
      <sz val="12"/>
      <color rgb="FF000000"/>
      <name val="돋움"/>
      <family val="3"/>
      <charset val="129"/>
    </font>
    <font>
      <sz val="9"/>
      <color rgb="FF000000"/>
      <name val="굴림체"/>
      <family val="3"/>
      <charset val="129"/>
    </font>
    <font>
      <b/>
      <sz val="15"/>
      <color rgb="FF000000"/>
      <name val="돋움"/>
      <family val="3"/>
      <charset val="129"/>
    </font>
    <font>
      <sz val="15"/>
      <color rgb="FF000000"/>
      <name val="바탕체"/>
      <family val="1"/>
      <charset val="129"/>
    </font>
    <font>
      <u/>
      <sz val="14"/>
      <color rgb="FF000000"/>
      <name val="바탕체"/>
      <family val="1"/>
      <charset val="129"/>
    </font>
    <font>
      <u/>
      <sz val="14"/>
      <color rgb="FF000000"/>
      <name val="MS Gothic"/>
      <family val="3"/>
      <charset val="128"/>
    </font>
    <font>
      <b/>
      <vertAlign val="superscript"/>
      <sz val="10"/>
      <color rgb="FF000000"/>
      <name val="굴림체"/>
      <family val="3"/>
      <charset val="129"/>
    </font>
    <font>
      <b/>
      <sz val="13"/>
      <color rgb="FF000000"/>
      <name val="바탕"/>
      <family val="1"/>
      <charset val="129"/>
    </font>
    <font>
      <b/>
      <u/>
      <sz val="14"/>
      <color rgb="FF000000"/>
      <name val="바탕체"/>
      <family val="1"/>
      <charset val="129"/>
    </font>
    <font>
      <sz val="11"/>
      <color rgb="FF000000"/>
      <name val="돋움"/>
      <family val="3"/>
      <charset val="129"/>
    </font>
    <font>
      <sz val="8"/>
      <name val="돋움"/>
      <family val="3"/>
      <charset val="129"/>
    </font>
    <font>
      <sz val="9"/>
      <color indexed="8"/>
      <name val="HY울릉도M"/>
      <family val="1"/>
      <charset val="129"/>
    </font>
    <font>
      <sz val="11"/>
      <name val="돋움"/>
      <family val="3"/>
      <charset val="129"/>
    </font>
    <font>
      <b/>
      <sz val="15"/>
      <name val="맑은 고딕"/>
      <family val="3"/>
      <charset val="129"/>
      <scheme val="major"/>
    </font>
    <font>
      <sz val="10"/>
      <name val="가는으뜸체"/>
      <family val="1"/>
      <charset val="129"/>
    </font>
    <font>
      <sz val="10"/>
      <name val="굴림"/>
      <family val="3"/>
      <charset val="129"/>
    </font>
    <font>
      <sz val="11"/>
      <name val="굴림"/>
      <family val="3"/>
      <charset val="129"/>
    </font>
    <font>
      <sz val="10"/>
      <name val="맑은 고딕"/>
      <family val="3"/>
      <charset val="129"/>
      <scheme val="major"/>
    </font>
    <font>
      <sz val="10"/>
      <color theme="1"/>
      <name val="맑은 고딕"/>
      <family val="3"/>
      <charset val="129"/>
      <scheme val="major"/>
    </font>
    <font>
      <sz val="9"/>
      <name val="돋움"/>
      <family val="3"/>
      <charset val="129"/>
    </font>
    <font>
      <sz val="9"/>
      <name val="맑은 고딕"/>
      <family val="3"/>
      <charset val="129"/>
      <scheme val="major"/>
    </font>
    <font>
      <sz val="10"/>
      <color indexed="8"/>
      <name val="맑은 고딕"/>
      <family val="3"/>
      <charset val="129"/>
      <scheme val="major"/>
    </font>
    <font>
      <b/>
      <sz val="10"/>
      <name val="맑은 고딕"/>
      <family val="3"/>
      <charset val="129"/>
      <scheme val="major"/>
    </font>
    <font>
      <b/>
      <sz val="10"/>
      <name val="굴림"/>
      <family val="3"/>
      <charset val="129"/>
    </font>
    <font>
      <b/>
      <sz val="12"/>
      <name val="굴림체"/>
      <family val="3"/>
      <charset val="129"/>
    </font>
    <font>
      <sz val="11"/>
      <color rgb="FF000000"/>
      <name val="휴먼명조"/>
      <family val="3"/>
      <charset val="129"/>
    </font>
    <font>
      <sz val="10"/>
      <name val="굴림체"/>
      <family val="3"/>
      <charset val="129"/>
    </font>
    <font>
      <b/>
      <sz val="10"/>
      <name val="굴림체"/>
      <family val="3"/>
      <charset val="129"/>
    </font>
  </fonts>
  <fills count="12">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rgb="FFFFFF00"/>
        <bgColor indexed="64"/>
      </patternFill>
    </fill>
    <fill>
      <patternFill patternType="solid">
        <fgColor rgb="FFCCCCCC"/>
        <bgColor indexed="64"/>
      </patternFill>
    </fill>
    <fill>
      <patternFill patternType="solid">
        <fgColor rgb="FFD0EAED"/>
        <bgColor indexed="64"/>
      </patternFill>
    </fill>
    <fill>
      <patternFill patternType="solid">
        <fgColor rgb="FF939393"/>
        <bgColor indexed="64"/>
      </patternFill>
    </fill>
    <fill>
      <patternFill patternType="solid">
        <fgColor rgb="FFEEECE1"/>
        <bgColor indexed="64"/>
      </patternFill>
    </fill>
    <fill>
      <patternFill patternType="solid">
        <fgColor theme="0"/>
        <bgColor indexed="64"/>
      </patternFill>
    </fill>
    <fill>
      <patternFill patternType="solid">
        <fgColor theme="0" tint="-0.249977111117893"/>
        <bgColor indexed="64"/>
      </patternFill>
    </fill>
    <fill>
      <patternFill patternType="solid">
        <fgColor indexed="9"/>
        <bgColor indexed="64"/>
      </patternFill>
    </fill>
  </fills>
  <borders count="138">
    <border>
      <left/>
      <right/>
      <top/>
      <bottom/>
      <diagonal/>
    </border>
    <border>
      <left style="hair">
        <color auto="1"/>
      </left>
      <right style="hair">
        <color auto="1"/>
      </right>
      <top style="hair">
        <color auto="1"/>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style="hair">
        <color auto="1"/>
      </right>
      <top style="thin">
        <color auto="1"/>
      </top>
      <bottom style="thin">
        <color auto="1"/>
      </bottom>
      <diagonal/>
    </border>
    <border>
      <left style="thin">
        <color auto="1"/>
      </left>
      <right style="hair">
        <color auto="1"/>
      </right>
      <top style="thin">
        <color auto="1"/>
      </top>
      <bottom style="hair">
        <color auto="1"/>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double">
        <color rgb="FF000000"/>
      </bottom>
      <diagonal/>
    </border>
    <border>
      <left/>
      <right style="thin">
        <color rgb="FF000000"/>
      </right>
      <top style="thin">
        <color rgb="FF000000"/>
      </top>
      <bottom style="thin">
        <color rgb="FF000000"/>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ck">
        <color rgb="FF000000"/>
      </left>
      <right style="thin">
        <color rgb="FF000000"/>
      </right>
      <top/>
      <bottom/>
      <diagonal/>
    </border>
    <border>
      <left style="thick">
        <color rgb="FF000000"/>
      </left>
      <right style="thin">
        <color rgb="FF000000"/>
      </right>
      <top/>
      <bottom style="double">
        <color rgb="FF000000"/>
      </bottom>
      <diagonal/>
    </border>
    <border>
      <left style="thin">
        <color rgb="FF000000"/>
      </left>
      <right style="thin">
        <color rgb="FF000000"/>
      </right>
      <top style="thin">
        <color rgb="FF000000"/>
      </top>
      <bottom style="double">
        <color rgb="FF000000"/>
      </bottom>
      <diagonal/>
    </border>
    <border>
      <left style="thick">
        <color rgb="FF000000"/>
      </left>
      <right style="thin">
        <color rgb="FF000000"/>
      </right>
      <top style="double">
        <color rgb="FF000000"/>
      </top>
      <bottom/>
      <diagonal/>
    </border>
    <border>
      <left style="thick">
        <color rgb="FF000000"/>
      </left>
      <right style="thin">
        <color rgb="FF000000"/>
      </right>
      <top/>
      <bottom style="thin">
        <color rgb="FF000000"/>
      </bottom>
      <diagonal/>
    </border>
    <border>
      <left style="thin">
        <color rgb="FF000000"/>
      </left>
      <right style="thin">
        <color rgb="FF000000"/>
      </right>
      <top style="double">
        <color rgb="FF000000"/>
      </top>
      <bottom style="thin">
        <color rgb="FF000000"/>
      </bottom>
      <diagonal/>
    </border>
    <border>
      <left style="thick">
        <color rgb="FF000000"/>
      </left>
      <right style="thin">
        <color rgb="FF000000"/>
      </right>
      <top style="thin">
        <color rgb="FF000000"/>
      </top>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n">
        <color rgb="FF000000"/>
      </right>
      <top style="thick">
        <color rgb="FF000000"/>
      </top>
      <bottom/>
      <diagonal/>
    </border>
    <border>
      <left style="thin">
        <color rgb="FF000000"/>
      </left>
      <right/>
      <top style="thin">
        <color rgb="FF000000"/>
      </top>
      <bottom style="thin">
        <color rgb="FF000000"/>
      </bottom>
      <diagonal/>
    </border>
    <border>
      <left style="thin">
        <color rgb="FF000000"/>
      </left>
      <right/>
      <top style="hair">
        <color rgb="FF000000"/>
      </top>
      <bottom style="hair">
        <color rgb="FF000000"/>
      </bottom>
      <diagonal/>
    </border>
    <border>
      <left style="thin">
        <color rgb="FF000000"/>
      </left>
      <right/>
      <top style="hair">
        <color rgb="FF000000"/>
      </top>
      <bottom style="thin">
        <color rgb="FF000000"/>
      </bottom>
      <diagonal/>
    </border>
    <border>
      <left style="hair">
        <color auto="1"/>
      </left>
      <right style="hair">
        <color auto="1"/>
      </right>
      <top/>
      <bottom style="thin">
        <color auto="1"/>
      </bottom>
      <diagonal/>
    </border>
    <border>
      <left style="hair">
        <color auto="1"/>
      </left>
      <right style="thin">
        <color auto="1"/>
      </right>
      <top style="thin">
        <color rgb="FF000000"/>
      </top>
      <bottom style="thin">
        <color auto="1"/>
      </bottom>
      <diagonal/>
    </border>
    <border>
      <left style="double">
        <color rgb="FF000000"/>
      </left>
      <right style="double">
        <color rgb="FF000000"/>
      </right>
      <top style="double">
        <color rgb="FF000000"/>
      </top>
      <bottom style="double">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diagonal/>
    </border>
    <border>
      <left/>
      <right style="thin">
        <color auto="1"/>
      </right>
      <top style="medium">
        <color auto="1"/>
      </top>
      <bottom/>
      <diagonal/>
    </border>
    <border>
      <left style="medium">
        <color auto="1"/>
      </left>
      <right/>
      <top/>
      <bottom style="thin">
        <color auto="1"/>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
      <left style="thin">
        <color rgb="FF000000"/>
      </left>
      <right/>
      <top style="thick">
        <color rgb="FF000000"/>
      </top>
      <bottom/>
      <diagonal/>
    </border>
    <border>
      <left/>
      <right/>
      <top style="thick">
        <color rgb="FF000000"/>
      </top>
      <bottom/>
      <diagonal/>
    </border>
    <border>
      <left/>
      <right style="thin">
        <color rgb="FF000000"/>
      </right>
      <top style="thick">
        <color rgb="FF000000"/>
      </top>
      <bottom/>
      <diagonal/>
    </border>
    <border>
      <left style="thin">
        <color auto="1"/>
      </left>
      <right/>
      <top style="medium">
        <color auto="1"/>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ck">
        <color rgb="FF000000"/>
      </top>
      <bottom/>
      <diagonal/>
    </border>
    <border>
      <left/>
      <right style="medium">
        <color auto="1"/>
      </right>
      <top/>
      <bottom style="thin">
        <color auto="1"/>
      </bottom>
      <diagonal/>
    </border>
    <border>
      <left style="thin">
        <color rgb="FF000000"/>
      </left>
      <right style="thin">
        <color rgb="FF000000"/>
      </right>
      <top/>
      <bottom style="double">
        <color rgb="FF000000"/>
      </bottom>
      <diagonal/>
    </border>
    <border>
      <left style="thin">
        <color rgb="FF000000"/>
      </left>
      <right style="thick">
        <color rgb="FF000000"/>
      </right>
      <top style="thick">
        <color rgb="FF000000"/>
      </top>
      <bottom/>
      <diagonal/>
    </border>
    <border>
      <left style="thin">
        <color rgb="FF000000"/>
      </left>
      <right style="thick">
        <color rgb="FF000000"/>
      </right>
      <top/>
      <bottom/>
      <diagonal/>
    </border>
    <border>
      <left style="thin">
        <color rgb="FF000000"/>
      </left>
      <right style="thick">
        <color rgb="FF000000"/>
      </right>
      <top/>
      <bottom style="double">
        <color rgb="FF000000"/>
      </bottom>
      <diagonal/>
    </border>
    <border>
      <left style="thin">
        <color rgb="FF000000"/>
      </left>
      <right style="thin">
        <color rgb="FF000000"/>
      </right>
      <top style="double">
        <color rgb="FF000000"/>
      </top>
      <bottom/>
      <diagonal/>
    </border>
    <border>
      <left style="thin">
        <color rgb="FF000000"/>
      </left>
      <right style="thick">
        <color rgb="FF000000"/>
      </right>
      <top style="double">
        <color rgb="FF000000"/>
      </top>
      <bottom/>
      <diagonal/>
    </border>
    <border>
      <left style="thin">
        <color rgb="FF000000"/>
      </left>
      <right style="thick">
        <color rgb="FF000000"/>
      </right>
      <top/>
      <bottom style="thin">
        <color rgb="FF000000"/>
      </bottom>
      <diagonal/>
    </border>
    <border>
      <left style="thin">
        <color rgb="FF000000"/>
      </left>
      <right style="thick">
        <color rgb="FF000000"/>
      </right>
      <top style="thin">
        <color rgb="FF000000"/>
      </top>
      <bottom/>
      <diagonal/>
    </border>
    <border>
      <left style="hair">
        <color auto="1"/>
      </left>
      <right/>
      <top style="thin">
        <color auto="1"/>
      </top>
      <bottom style="hair">
        <color auto="1"/>
      </bottom>
      <diagonal/>
    </border>
    <border>
      <left/>
      <right/>
      <top style="thin">
        <color auto="1"/>
      </top>
      <bottom style="hair">
        <color auto="1"/>
      </bottom>
      <diagonal/>
    </border>
    <border>
      <left/>
      <right style="hair">
        <color auto="1"/>
      </right>
      <top style="thin">
        <color auto="1"/>
      </top>
      <bottom style="hair">
        <color auto="1"/>
      </bottom>
      <diagonal/>
    </border>
    <border>
      <left style="thin">
        <color auto="1"/>
      </left>
      <right/>
      <top style="thin">
        <color auto="1"/>
      </top>
      <bottom style="hair">
        <color auto="1"/>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diagonal/>
    </border>
    <border>
      <left/>
      <right/>
      <top style="medium">
        <color rgb="FF000000"/>
      </top>
      <bottom/>
      <diagonal/>
    </border>
    <border>
      <left/>
      <right style="thin">
        <color auto="1"/>
      </right>
      <top style="thin">
        <color auto="1"/>
      </top>
      <bottom style="hair">
        <color auto="1"/>
      </bottom>
      <diagonal/>
    </border>
    <border>
      <left style="hair">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hair">
        <color auto="1"/>
      </left>
      <right style="thin">
        <color auto="1"/>
      </right>
      <top/>
      <bottom style="thin">
        <color auto="1"/>
      </bottom>
      <diagonal/>
    </border>
    <border>
      <left style="thin">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hair">
        <color auto="1"/>
      </right>
      <top style="thin">
        <color auto="1"/>
      </top>
      <bottom/>
      <diagonal/>
    </border>
    <border>
      <left style="thin">
        <color rgb="FF000000"/>
      </left>
      <right/>
      <top style="thin">
        <color rgb="FF000000"/>
      </top>
      <bottom style="double">
        <color rgb="FF000000"/>
      </bottom>
      <diagonal/>
    </border>
    <border>
      <left style="hair">
        <color auto="1"/>
      </left>
      <right/>
      <top style="thin">
        <color auto="1"/>
      </top>
      <bottom/>
      <diagonal/>
    </border>
    <border>
      <left/>
      <right style="hair">
        <color auto="1"/>
      </right>
      <top/>
      <bottom style="thin">
        <color auto="1"/>
      </bottom>
      <diagonal/>
    </border>
    <border>
      <left style="hair">
        <color auto="1"/>
      </left>
      <right/>
      <top/>
      <bottom style="thin">
        <color auto="1"/>
      </bottom>
      <diagonal/>
    </border>
    <border>
      <left/>
      <right/>
      <top style="thin">
        <color rgb="FF000000"/>
      </top>
      <bottom style="double">
        <color rgb="FF000000"/>
      </bottom>
      <diagonal/>
    </border>
    <border>
      <left/>
      <right/>
      <top style="thin">
        <color rgb="FF000000"/>
      </top>
      <bottom style="thin">
        <color auto="1"/>
      </bottom>
      <diagonal/>
    </border>
    <border>
      <left style="thin">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auto="1"/>
      </left>
      <right style="hair">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top style="thin">
        <color auto="1"/>
      </top>
      <bottom/>
      <diagonal/>
    </border>
    <border>
      <left/>
      <right style="medium">
        <color indexed="64"/>
      </right>
      <top style="thin">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rgb="FF000000"/>
      </left>
      <right/>
      <top/>
      <bottom style="hair">
        <color rgb="FF000000"/>
      </bottom>
      <diagonal/>
    </border>
    <border>
      <left style="thin">
        <color indexed="64"/>
      </left>
      <right style="hair">
        <color auto="1"/>
      </right>
      <top style="thin">
        <color indexed="64"/>
      </top>
      <bottom style="double">
        <color auto="1"/>
      </bottom>
      <diagonal/>
    </border>
    <border>
      <left style="hair">
        <color auto="1"/>
      </left>
      <right style="hair">
        <color auto="1"/>
      </right>
      <top style="thin">
        <color indexed="64"/>
      </top>
      <bottom style="double">
        <color auto="1"/>
      </bottom>
      <diagonal/>
    </border>
    <border>
      <left style="hair">
        <color auto="1"/>
      </left>
      <right style="thin">
        <color indexed="64"/>
      </right>
      <top style="thin">
        <color indexed="64"/>
      </top>
      <bottom style="double">
        <color auto="1"/>
      </bottom>
      <diagonal/>
    </border>
    <border>
      <left style="thin">
        <color indexed="64"/>
      </left>
      <right style="hair">
        <color auto="1"/>
      </right>
      <top/>
      <bottom style="thin">
        <color indexed="64"/>
      </bottom>
      <diagonal/>
    </border>
    <border>
      <left style="hair">
        <color auto="1"/>
      </left>
      <right style="hair">
        <color auto="1"/>
      </right>
      <top/>
      <bottom style="thin">
        <color indexed="64"/>
      </bottom>
      <diagonal/>
    </border>
    <border>
      <left style="hair">
        <color auto="1"/>
      </left>
      <right style="thin">
        <color indexed="64"/>
      </right>
      <top/>
      <bottom style="thin">
        <color indexed="64"/>
      </bottom>
      <diagonal/>
    </border>
  </borders>
  <cellStyleXfs count="24">
    <xf numFmtId="0" fontId="0" fillId="0" borderId="0">
      <alignment vertical="center"/>
    </xf>
    <xf numFmtId="41" fontId="86" fillId="0" borderId="0">
      <alignment vertical="center"/>
    </xf>
    <xf numFmtId="24" fontId="1" fillId="0" borderId="0"/>
    <xf numFmtId="41" fontId="86" fillId="0" borderId="0"/>
    <xf numFmtId="177" fontId="2" fillId="0" borderId="0"/>
    <xf numFmtId="41" fontId="86" fillId="0" borderId="0"/>
    <xf numFmtId="0" fontId="2" fillId="0" borderId="0"/>
    <xf numFmtId="0" fontId="2" fillId="0" borderId="0"/>
    <xf numFmtId="0" fontId="86" fillId="0" borderId="0"/>
    <xf numFmtId="0" fontId="86" fillId="0" borderId="0"/>
    <xf numFmtId="0" fontId="86" fillId="0" borderId="0">
      <alignment vertical="center"/>
    </xf>
    <xf numFmtId="0" fontId="2" fillId="0" borderId="0"/>
    <xf numFmtId="184" fontId="2" fillId="0" borderId="0"/>
    <xf numFmtId="0" fontId="3" fillId="0" borderId="0">
      <alignment vertical="center"/>
    </xf>
    <xf numFmtId="0" fontId="4" fillId="0" borderId="0"/>
    <xf numFmtId="41" fontId="5" fillId="0" borderId="0"/>
    <xf numFmtId="0" fontId="5" fillId="0" borderId="0"/>
    <xf numFmtId="0" fontId="86" fillId="0" borderId="0"/>
    <xf numFmtId="0" fontId="86" fillId="0" borderId="0"/>
    <xf numFmtId="0" fontId="86" fillId="0" borderId="0"/>
    <xf numFmtId="0" fontId="86" fillId="0" borderId="0"/>
    <xf numFmtId="0" fontId="89" fillId="0" borderId="0"/>
    <xf numFmtId="41" fontId="91" fillId="0" borderId="0" applyFont="0" applyFill="0" applyBorder="0" applyAlignment="0" applyProtection="0"/>
    <xf numFmtId="0" fontId="96" fillId="0" borderId="0"/>
  </cellStyleXfs>
  <cellXfs count="783">
    <xf numFmtId="0" fontId="0" fillId="0" borderId="0" xfId="0" applyAlignment="1"/>
    <xf numFmtId="0" fontId="0" fillId="0" borderId="0" xfId="0" applyAlignment="1">
      <alignment horizontal="center" vertical="center"/>
    </xf>
    <xf numFmtId="0" fontId="0" fillId="0" borderId="1" xfId="0" applyBorder="1" applyAlignment="1">
      <alignment horizontal="center" vertical="center"/>
    </xf>
    <xf numFmtId="0" fontId="7" fillId="2" borderId="0" xfId="9" applyFont="1" applyFill="1" applyAlignment="1">
      <alignment vertical="center"/>
    </xf>
    <xf numFmtId="41" fontId="7" fillId="2" borderId="0" xfId="5" applyFont="1" applyFill="1" applyAlignment="1">
      <alignment horizontal="center" vertical="center"/>
    </xf>
    <xf numFmtId="0" fontId="7" fillId="2" borderId="0" xfId="9" applyFont="1" applyFill="1" applyAlignment="1">
      <alignment horizontal="center" vertical="center"/>
    </xf>
    <xf numFmtId="41" fontId="7" fillId="2" borderId="0" xfId="5" applyFont="1" applyFill="1" applyAlignment="1">
      <alignment horizontal="right" vertical="center"/>
    </xf>
    <xf numFmtId="0" fontId="8" fillId="2" borderId="0" xfId="9" applyFont="1" applyFill="1" applyAlignment="1">
      <alignment vertical="center"/>
    </xf>
    <xf numFmtId="0" fontId="8" fillId="2" borderId="0" xfId="7" applyFont="1" applyFill="1" applyAlignment="1">
      <alignment horizontal="center" vertical="center"/>
    </xf>
    <xf numFmtId="0" fontId="9" fillId="2" borderId="0" xfId="9" applyFont="1" applyFill="1" applyAlignment="1">
      <alignment vertical="center"/>
    </xf>
    <xf numFmtId="0" fontId="9" fillId="2" borderId="0" xfId="9" applyFont="1" applyFill="1" applyAlignment="1">
      <alignment horizontal="center" vertical="center"/>
    </xf>
    <xf numFmtId="41" fontId="9" fillId="2" borderId="0" xfId="5" applyFont="1" applyFill="1" applyAlignment="1">
      <alignment horizontal="right" vertical="center"/>
    </xf>
    <xf numFmtId="41" fontId="9" fillId="2" borderId="0" xfId="5" applyFont="1" applyFill="1" applyAlignment="1">
      <alignment horizontal="center" vertical="center"/>
    </xf>
    <xf numFmtId="0" fontId="10" fillId="0" borderId="0" xfId="0" applyFont="1" applyAlignment="1"/>
    <xf numFmtId="0" fontId="11" fillId="0" borderId="0" xfId="0" applyFont="1" applyAlignment="1">
      <alignment vertical="center" shrinkToFit="1"/>
    </xf>
    <xf numFmtId="0" fontId="12" fillId="0" borderId="0" xfId="0" applyFont="1" applyAlignment="1">
      <alignment vertical="center" shrinkToFit="1"/>
    </xf>
    <xf numFmtId="0" fontId="12" fillId="0" borderId="0" xfId="0" applyFont="1" applyAlignment="1">
      <alignment horizontal="center" vertical="center" shrinkToFit="1"/>
    </xf>
    <xf numFmtId="0" fontId="12" fillId="0" borderId="0" xfId="0" applyFont="1" applyAlignment="1">
      <alignment shrinkToFit="1"/>
    </xf>
    <xf numFmtId="0" fontId="12" fillId="0" borderId="0" xfId="0" applyFont="1" applyAlignment="1">
      <alignment horizontal="center" shrinkToFit="1"/>
    </xf>
    <xf numFmtId="0" fontId="13" fillId="0" borderId="0" xfId="0" applyFont="1" applyAlignment="1">
      <alignment vertical="center" shrinkToFit="1"/>
    </xf>
    <xf numFmtId="0" fontId="13" fillId="0" borderId="0" xfId="0" applyFont="1" applyAlignment="1">
      <alignment shrinkToFit="1"/>
    </xf>
    <xf numFmtId="0" fontId="14" fillId="0" borderId="0" xfId="0" applyFont="1" applyAlignment="1">
      <alignment vertical="center" shrinkToFit="1"/>
    </xf>
    <xf numFmtId="0" fontId="14" fillId="0" borderId="0" xfId="0" applyFont="1" applyAlignment="1">
      <alignment horizontal="center" vertical="center" shrinkToFit="1"/>
    </xf>
    <xf numFmtId="0" fontId="14" fillId="0" borderId="0" xfId="0" applyFont="1" applyAlignment="1">
      <alignment shrinkToFit="1"/>
    </xf>
    <xf numFmtId="41" fontId="14" fillId="0" borderId="0" xfId="1" applyFont="1" applyAlignment="1">
      <alignment vertical="center" shrinkToFit="1"/>
    </xf>
    <xf numFmtId="182" fontId="14" fillId="0" borderId="0" xfId="0" applyNumberFormat="1" applyFont="1" applyAlignment="1">
      <alignment vertical="center" shrinkToFit="1"/>
    </xf>
    <xf numFmtId="0" fontId="15" fillId="2" borderId="0" xfId="9" applyFont="1" applyFill="1" applyAlignment="1">
      <alignment vertical="center"/>
    </xf>
    <xf numFmtId="0" fontId="9" fillId="2" borderId="0" xfId="8" applyFont="1" applyFill="1" applyAlignment="1">
      <alignment horizontal="center" vertical="center"/>
    </xf>
    <xf numFmtId="0" fontId="9" fillId="2" borderId="0" xfId="7" applyFont="1" applyFill="1" applyAlignment="1">
      <alignment horizontal="center" vertical="center"/>
    </xf>
    <xf numFmtId="41" fontId="9" fillId="2" borderId="0" xfId="5" quotePrefix="1" applyFont="1" applyFill="1" applyAlignment="1">
      <alignment horizontal="center" vertical="center"/>
    </xf>
    <xf numFmtId="0" fontId="9" fillId="2" borderId="0" xfId="7" quotePrefix="1" applyFont="1" applyFill="1" applyAlignment="1">
      <alignment horizontal="left" vertical="center"/>
    </xf>
    <xf numFmtId="41" fontId="15" fillId="2" borderId="0" xfId="5" applyFont="1" applyFill="1" applyAlignment="1">
      <alignment horizontal="center" vertical="center"/>
    </xf>
    <xf numFmtId="41" fontId="10" fillId="0" borderId="0" xfId="1" applyFont="1" applyAlignment="1"/>
    <xf numFmtId="41" fontId="8" fillId="2" borderId="0" xfId="1" applyFont="1" applyFill="1">
      <alignment vertical="center"/>
    </xf>
    <xf numFmtId="41" fontId="9" fillId="2" borderId="0" xfId="1" applyFont="1" applyFill="1" applyAlignment="1">
      <alignment horizontal="center" vertical="center" wrapText="1"/>
    </xf>
    <xf numFmtId="41" fontId="9" fillId="2" borderId="0" xfId="1" applyFont="1" applyFill="1" applyAlignment="1">
      <alignment horizontal="center" vertical="center"/>
    </xf>
    <xf numFmtId="41" fontId="15" fillId="2" borderId="0" xfId="1" applyFont="1" applyFill="1">
      <alignment vertical="center"/>
    </xf>
    <xf numFmtId="41" fontId="9" fillId="2" borderId="0" xfId="1" applyFont="1" applyFill="1">
      <alignment vertical="center"/>
    </xf>
    <xf numFmtId="41" fontId="9" fillId="2" borderId="0" xfId="1" applyFont="1" applyFill="1" applyAlignment="1">
      <alignment horizontal="right" vertical="center"/>
    </xf>
    <xf numFmtId="41" fontId="9" fillId="2" borderId="0" xfId="1" applyFont="1" applyFill="1" applyAlignment="1">
      <alignment horizontal="left" vertical="center"/>
    </xf>
    <xf numFmtId="41" fontId="7" fillId="2" borderId="0" xfId="1" applyFont="1" applyFill="1">
      <alignment vertical="center"/>
    </xf>
    <xf numFmtId="0" fontId="16" fillId="0" borderId="0" xfId="0" applyFont="1">
      <alignment vertical="center"/>
    </xf>
    <xf numFmtId="0" fontId="16" fillId="0" borderId="0" xfId="0" applyFont="1" applyAlignment="1"/>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41" fontId="17" fillId="2" borderId="0" xfId="1" applyFont="1" applyFill="1" applyAlignment="1">
      <alignment horizontal="center" vertical="center"/>
    </xf>
    <xf numFmtId="41" fontId="9" fillId="2" borderId="0" xfId="8" applyNumberFormat="1" applyFont="1" applyFill="1" applyAlignment="1">
      <alignment horizontal="center" vertical="center"/>
    </xf>
    <xf numFmtId="0" fontId="18" fillId="0" borderId="0" xfId="10" applyFont="1" applyAlignment="1">
      <alignment vertical="center" textRotation="255"/>
    </xf>
    <xf numFmtId="0" fontId="18" fillId="0" borderId="0" xfId="10" applyFont="1">
      <alignment vertical="center"/>
    </xf>
    <xf numFmtId="0" fontId="12" fillId="0" borderId="10" xfId="10" applyFont="1" applyBorder="1">
      <alignment vertical="center"/>
    </xf>
    <xf numFmtId="0" fontId="12" fillId="0" borderId="0" xfId="10" applyFont="1">
      <alignment vertical="center"/>
    </xf>
    <xf numFmtId="0" fontId="19" fillId="0" borderId="0" xfId="10" applyFont="1">
      <alignment vertical="center"/>
    </xf>
    <xf numFmtId="0" fontId="19" fillId="0" borderId="0" xfId="10" applyFont="1" applyAlignment="1">
      <alignment horizontal="right" vertical="center"/>
    </xf>
    <xf numFmtId="0" fontId="12" fillId="0" borderId="11" xfId="10" applyFont="1" applyBorder="1">
      <alignment vertical="center"/>
    </xf>
    <xf numFmtId="0" fontId="12" fillId="0" borderId="0" xfId="10" applyFont="1" applyAlignment="1">
      <alignment horizontal="right" vertical="center"/>
    </xf>
    <xf numFmtId="0" fontId="20" fillId="0" borderId="0" xfId="10" applyFont="1">
      <alignment vertical="center"/>
    </xf>
    <xf numFmtId="0" fontId="21" fillId="0" borderId="0" xfId="10" applyFont="1">
      <alignment vertical="center"/>
    </xf>
    <xf numFmtId="0" fontId="22" fillId="0" borderId="0" xfId="10" applyFont="1" applyAlignment="1">
      <alignment horizontal="center" vertical="center"/>
    </xf>
    <xf numFmtId="0" fontId="12" fillId="0" borderId="0" xfId="0" applyFont="1" applyAlignment="1"/>
    <xf numFmtId="0" fontId="23" fillId="0" borderId="10" xfId="10" applyFont="1" applyBorder="1">
      <alignment vertical="center"/>
    </xf>
    <xf numFmtId="0" fontId="23" fillId="0" borderId="0" xfId="10" applyFont="1">
      <alignment vertical="center"/>
    </xf>
    <xf numFmtId="0" fontId="23" fillId="0" borderId="0" xfId="10" applyFont="1" applyAlignment="1">
      <alignment horizontal="right" vertical="center"/>
    </xf>
    <xf numFmtId="0" fontId="23" fillId="0" borderId="0" xfId="10" applyFont="1" applyAlignment="1">
      <alignment horizontal="left" vertical="center"/>
    </xf>
    <xf numFmtId="181" fontId="23" fillId="0" borderId="0" xfId="10" applyNumberFormat="1" applyFont="1" applyAlignment="1">
      <alignment horizontal="left" vertical="center"/>
    </xf>
    <xf numFmtId="0" fontId="23" fillId="0" borderId="11" xfId="10" applyFont="1" applyBorder="1">
      <alignment vertical="center"/>
    </xf>
    <xf numFmtId="0" fontId="24" fillId="0" borderId="10" xfId="10" applyFont="1" applyBorder="1">
      <alignment vertical="center"/>
    </xf>
    <xf numFmtId="0" fontId="24" fillId="0" borderId="0" xfId="10" applyFont="1">
      <alignment vertical="center"/>
    </xf>
    <xf numFmtId="0" fontId="24" fillId="0" borderId="0" xfId="10" applyFont="1" applyAlignment="1">
      <alignment horizontal="left" vertical="center"/>
    </xf>
    <xf numFmtId="179" fontId="24" fillId="0" borderId="0" xfId="10" applyNumberFormat="1" applyFont="1" applyAlignment="1">
      <alignment horizontal="left" vertical="center"/>
    </xf>
    <xf numFmtId="180" fontId="24" fillId="0" borderId="0" xfId="10" quotePrefix="1" applyNumberFormat="1" applyFont="1" applyAlignment="1">
      <alignment horizontal="left" vertical="center"/>
    </xf>
    <xf numFmtId="179" fontId="24" fillId="0" borderId="0" xfId="10" quotePrefix="1" applyNumberFormat="1" applyFont="1" applyAlignment="1">
      <alignment horizontal="left" vertical="center"/>
    </xf>
    <xf numFmtId="181" fontId="24" fillId="0" borderId="0" xfId="10" applyNumberFormat="1" applyFont="1" applyAlignment="1">
      <alignment horizontal="left" vertical="center"/>
    </xf>
    <xf numFmtId="0" fontId="24" fillId="0" borderId="11" xfId="10" applyFont="1" applyBorder="1">
      <alignment vertical="center"/>
    </xf>
    <xf numFmtId="0" fontId="18" fillId="0" borderId="10" xfId="10" applyFont="1" applyBorder="1">
      <alignment vertical="center"/>
    </xf>
    <xf numFmtId="0" fontId="18" fillId="0" borderId="0" xfId="10" applyFont="1" applyAlignment="1">
      <alignment horizontal="left" vertical="center"/>
    </xf>
    <xf numFmtId="179" fontId="18" fillId="0" borderId="0" xfId="10" applyNumberFormat="1" applyFont="1" applyAlignment="1">
      <alignment horizontal="left" vertical="center"/>
    </xf>
    <xf numFmtId="180" fontId="18" fillId="0" borderId="0" xfId="10" quotePrefix="1" applyNumberFormat="1" applyFont="1" applyAlignment="1">
      <alignment horizontal="left" vertical="center"/>
    </xf>
    <xf numFmtId="179" fontId="18" fillId="0" borderId="0" xfId="10" quotePrefix="1" applyNumberFormat="1" applyFont="1" applyAlignment="1">
      <alignment horizontal="left" vertical="center"/>
    </xf>
    <xf numFmtId="181" fontId="18" fillId="0" borderId="0" xfId="10" applyNumberFormat="1" applyFont="1" applyAlignment="1">
      <alignment horizontal="left" vertical="center"/>
    </xf>
    <xf numFmtId="0" fontId="18" fillId="0" borderId="11" xfId="10" applyFont="1" applyBorder="1">
      <alignment vertical="center"/>
    </xf>
    <xf numFmtId="0" fontId="25" fillId="0" borderId="0" xfId="10" applyFont="1">
      <alignment vertical="center"/>
    </xf>
    <xf numFmtId="0" fontId="25" fillId="0" borderId="0" xfId="10" applyFont="1" applyAlignment="1">
      <alignment horizontal="left" vertical="center"/>
    </xf>
    <xf numFmtId="179" fontId="23" fillId="0" borderId="0" xfId="10" applyNumberFormat="1" applyFont="1" applyAlignment="1">
      <alignment horizontal="left" vertical="center"/>
    </xf>
    <xf numFmtId="180" fontId="23" fillId="0" borderId="0" xfId="10" quotePrefix="1" applyNumberFormat="1" applyFont="1" applyAlignment="1">
      <alignment horizontal="left" vertical="center"/>
    </xf>
    <xf numFmtId="180" fontId="23" fillId="0" borderId="0" xfId="10" applyNumberFormat="1" applyFont="1" applyAlignment="1">
      <alignment horizontal="right" vertical="center"/>
    </xf>
    <xf numFmtId="180" fontId="25" fillId="0" borderId="0" xfId="10" quotePrefix="1" applyNumberFormat="1" applyFont="1">
      <alignment vertical="center"/>
    </xf>
    <xf numFmtId="180" fontId="25" fillId="0" borderId="0" xfId="10" quotePrefix="1" applyNumberFormat="1" applyFont="1" applyAlignment="1">
      <alignment horizontal="center" vertical="center"/>
    </xf>
    <xf numFmtId="0" fontId="23" fillId="0" borderId="0" xfId="10" applyFont="1" applyAlignment="1">
      <alignment horizontal="center" vertical="center"/>
    </xf>
    <xf numFmtId="0" fontId="26" fillId="0" borderId="0" xfId="10" applyFont="1" applyAlignment="1">
      <alignment horizontal="right" vertical="center"/>
    </xf>
    <xf numFmtId="0" fontId="9" fillId="0" borderId="0" xfId="10" applyFont="1" applyAlignment="1">
      <alignment horizontal="center" vertical="center"/>
    </xf>
    <xf numFmtId="179" fontId="9" fillId="0" borderId="0" xfId="10" applyNumberFormat="1" applyFont="1" applyAlignment="1">
      <alignment horizontal="left" vertical="center"/>
    </xf>
    <xf numFmtId="180" fontId="9" fillId="0" borderId="0" xfId="10" quotePrefix="1" applyNumberFormat="1" applyFont="1" applyAlignment="1">
      <alignment horizontal="left" vertical="center"/>
    </xf>
    <xf numFmtId="180" fontId="9" fillId="0" borderId="0" xfId="10" applyNumberFormat="1" applyFont="1" applyAlignment="1">
      <alignment horizontal="right" vertical="center"/>
    </xf>
    <xf numFmtId="181" fontId="12" fillId="0" borderId="0" xfId="10" applyNumberFormat="1" applyFont="1" applyAlignment="1">
      <alignment horizontal="left" vertical="center"/>
    </xf>
    <xf numFmtId="181" fontId="27" fillId="0" borderId="0" xfId="10" applyNumberFormat="1" applyFont="1" applyAlignment="1">
      <alignment horizontal="left" vertical="center"/>
    </xf>
    <xf numFmtId="0" fontId="12" fillId="0" borderId="12" xfId="10" applyFont="1" applyBorder="1">
      <alignment vertical="center"/>
    </xf>
    <xf numFmtId="0" fontId="12" fillId="0" borderId="13" xfId="10" applyFont="1" applyBorder="1">
      <alignment vertical="center"/>
    </xf>
    <xf numFmtId="0" fontId="12" fillId="0" borderId="14" xfId="10" applyFont="1" applyBorder="1">
      <alignment vertical="center"/>
    </xf>
    <xf numFmtId="3" fontId="28" fillId="0" borderId="0" xfId="12" applyNumberFormat="1" applyFont="1" applyAlignment="1">
      <alignment horizontal="center" vertical="center"/>
    </xf>
    <xf numFmtId="0" fontId="29" fillId="0" borderId="1" xfId="0" applyFont="1" applyBorder="1" applyAlignment="1">
      <alignment horizontal="center" vertical="center" shrinkToFit="1"/>
    </xf>
    <xf numFmtId="41" fontId="29" fillId="0" borderId="15" xfId="1" applyFont="1" applyBorder="1" applyAlignment="1">
      <alignment horizontal="center" vertical="center" shrinkToFit="1"/>
    </xf>
    <xf numFmtId="0" fontId="29" fillId="0" borderId="16" xfId="0" applyFont="1" applyBorder="1" applyAlignment="1">
      <alignment horizontal="center" vertical="center" shrinkToFit="1"/>
    </xf>
    <xf numFmtId="41" fontId="29" fillId="0" borderId="17" xfId="1" quotePrefix="1" applyFont="1" applyBorder="1" applyAlignment="1">
      <alignment horizontal="center" vertical="center" shrinkToFit="1"/>
    </xf>
    <xf numFmtId="41" fontId="29" fillId="0" borderId="1" xfId="1" applyFont="1" applyBorder="1" applyAlignment="1">
      <alignment vertical="center" shrinkToFit="1"/>
    </xf>
    <xf numFmtId="41" fontId="29" fillId="0" borderId="1" xfId="1" applyFont="1" applyBorder="1" applyAlignment="1">
      <alignment horizontal="center" vertical="center" shrinkToFit="1"/>
    </xf>
    <xf numFmtId="176" fontId="29" fillId="0" borderId="1" xfId="1" applyNumberFormat="1" applyFont="1" applyBorder="1" applyAlignment="1">
      <alignment horizontal="center" vertical="center" shrinkToFit="1"/>
    </xf>
    <xf numFmtId="0" fontId="29" fillId="0" borderId="18" xfId="0" applyFont="1" applyBorder="1" applyAlignment="1">
      <alignment horizontal="center" vertical="center" shrinkToFit="1"/>
    </xf>
    <xf numFmtId="41" fontId="29" fillId="0" borderId="1" xfId="3" applyFont="1" applyBorder="1" applyAlignment="1">
      <alignment horizontal="center" vertical="center" shrinkToFit="1"/>
    </xf>
    <xf numFmtId="41" fontId="29" fillId="0" borderId="1" xfId="3" applyFont="1" applyBorder="1" applyAlignment="1">
      <alignment horizontal="left" vertical="center" shrinkToFit="1"/>
    </xf>
    <xf numFmtId="0" fontId="29" fillId="0" borderId="17" xfId="0" applyFont="1" applyBorder="1" applyAlignment="1">
      <alignment horizontal="center" vertical="center" shrinkToFit="1"/>
    </xf>
    <xf numFmtId="0" fontId="29" fillId="0" borderId="19" xfId="0" applyFont="1" applyBorder="1" applyAlignment="1">
      <alignment horizontal="center" vertical="center" shrinkToFit="1"/>
    </xf>
    <xf numFmtId="0" fontId="29" fillId="0" borderId="20" xfId="0" applyFont="1" applyBorder="1" applyAlignment="1">
      <alignment horizontal="center" vertical="center" shrinkToFit="1"/>
    </xf>
    <xf numFmtId="41" fontId="29" fillId="0" borderId="20" xfId="3" applyFont="1" applyBorder="1" applyAlignment="1">
      <alignment horizontal="center" vertical="center" shrinkToFit="1"/>
    </xf>
    <xf numFmtId="0" fontId="29" fillId="0" borderId="21" xfId="0" applyFont="1" applyBorder="1" applyAlignment="1">
      <alignment horizontal="center" vertical="center" shrinkToFit="1"/>
    </xf>
    <xf numFmtId="0" fontId="30" fillId="2" borderId="2" xfId="9" applyFont="1" applyFill="1" applyBorder="1" applyAlignment="1">
      <alignment vertical="center"/>
    </xf>
    <xf numFmtId="0" fontId="30" fillId="2" borderId="3" xfId="9" applyFont="1" applyFill="1" applyBorder="1" applyAlignment="1">
      <alignment vertical="center"/>
    </xf>
    <xf numFmtId="0" fontId="30" fillId="2" borderId="3" xfId="9" applyFont="1" applyFill="1" applyBorder="1" applyAlignment="1">
      <alignment horizontal="center" vertical="center"/>
    </xf>
    <xf numFmtId="41" fontId="30" fillId="2" borderId="3" xfId="5" applyFont="1" applyFill="1" applyBorder="1" applyAlignment="1">
      <alignment horizontal="right" vertical="center"/>
    </xf>
    <xf numFmtId="41" fontId="30" fillId="2" borderId="3" xfId="5" applyFont="1" applyFill="1" applyBorder="1" applyAlignment="1">
      <alignment horizontal="center" vertical="center"/>
    </xf>
    <xf numFmtId="0" fontId="30" fillId="2" borderId="4" xfId="9" applyFont="1" applyFill="1" applyBorder="1" applyAlignment="1">
      <alignment vertical="center"/>
    </xf>
    <xf numFmtId="0" fontId="14" fillId="2" borderId="5" xfId="7" applyFont="1" applyFill="1" applyBorder="1" applyAlignment="1">
      <alignment horizontal="center" vertical="center"/>
    </xf>
    <xf numFmtId="0" fontId="14" fillId="0" borderId="6" xfId="7" applyFont="1" applyBorder="1" applyAlignment="1">
      <alignment horizontal="center" vertical="center" wrapText="1"/>
    </xf>
    <xf numFmtId="41" fontId="14" fillId="2" borderId="6" xfId="5" applyFont="1" applyFill="1" applyBorder="1" applyAlignment="1">
      <alignment horizontal="left" vertical="center"/>
    </xf>
    <xf numFmtId="0" fontId="30" fillId="2" borderId="0" xfId="7" applyFont="1" applyFill="1" applyAlignment="1">
      <alignment horizontal="left" vertical="center"/>
    </xf>
    <xf numFmtId="0" fontId="14" fillId="2" borderId="0" xfId="7" applyFont="1" applyFill="1" applyAlignment="1">
      <alignment horizontal="center" vertical="center"/>
    </xf>
    <xf numFmtId="186" fontId="14" fillId="2" borderId="0" xfId="7" applyNumberFormat="1" applyFont="1" applyFill="1" applyAlignment="1">
      <alignment horizontal="center" vertical="center"/>
    </xf>
    <xf numFmtId="184" fontId="14" fillId="2" borderId="0" xfId="7" applyNumberFormat="1" applyFont="1" applyFill="1" applyAlignment="1">
      <alignment horizontal="center" vertical="center"/>
    </xf>
    <xf numFmtId="186" fontId="14" fillId="2" borderId="6" xfId="7" applyNumberFormat="1" applyFont="1" applyFill="1" applyBorder="1" applyAlignment="1">
      <alignment horizontal="center" vertical="center"/>
    </xf>
    <xf numFmtId="0" fontId="30" fillId="2" borderId="5" xfId="9" applyFont="1" applyFill="1" applyBorder="1" applyAlignment="1">
      <alignment vertical="center"/>
    </xf>
    <xf numFmtId="0" fontId="30" fillId="2" borderId="0" xfId="9" applyFont="1" applyFill="1" applyAlignment="1">
      <alignment vertical="center"/>
    </xf>
    <xf numFmtId="0" fontId="30" fillId="2" borderId="0" xfId="9" applyFont="1" applyFill="1" applyAlignment="1">
      <alignment horizontal="left" vertical="center"/>
    </xf>
    <xf numFmtId="0" fontId="30" fillId="2" borderId="0" xfId="9" applyFont="1" applyFill="1" applyAlignment="1">
      <alignment horizontal="right" vertical="center"/>
    </xf>
    <xf numFmtId="0" fontId="30" fillId="2" borderId="0" xfId="9" applyFont="1" applyFill="1" applyAlignment="1">
      <alignment horizontal="center" vertical="center"/>
    </xf>
    <xf numFmtId="41" fontId="30" fillId="2" borderId="0" xfId="5" applyFont="1" applyFill="1" applyAlignment="1">
      <alignment horizontal="center" vertical="center"/>
    </xf>
    <xf numFmtId="3" fontId="30" fillId="2" borderId="0" xfId="9" applyNumberFormat="1" applyFont="1" applyFill="1" applyAlignment="1">
      <alignment horizontal="right" vertical="center"/>
    </xf>
    <xf numFmtId="0" fontId="30" fillId="2" borderId="6" xfId="9" applyFont="1" applyFill="1" applyBorder="1" applyAlignment="1">
      <alignment vertical="center"/>
    </xf>
    <xf numFmtId="0" fontId="14" fillId="2" borderId="5" xfId="9" applyFont="1" applyFill="1" applyBorder="1" applyAlignment="1">
      <alignment vertical="center"/>
    </xf>
    <xf numFmtId="0" fontId="14" fillId="2" borderId="0" xfId="9" applyFont="1" applyFill="1" applyAlignment="1">
      <alignment vertical="center"/>
    </xf>
    <xf numFmtId="0" fontId="14" fillId="2" borderId="0" xfId="9" applyFont="1" applyFill="1" applyAlignment="1">
      <alignment horizontal="left" vertical="center"/>
    </xf>
    <xf numFmtId="0" fontId="14" fillId="2" borderId="0" xfId="9" applyFont="1" applyFill="1" applyAlignment="1">
      <alignment horizontal="right" vertical="center"/>
    </xf>
    <xf numFmtId="0" fontId="14" fillId="2" borderId="0" xfId="9" applyFont="1" applyFill="1" applyAlignment="1">
      <alignment horizontal="center" vertical="center"/>
    </xf>
    <xf numFmtId="41" fontId="14" fillId="2" borderId="0" xfId="5" applyFont="1" applyFill="1" applyAlignment="1">
      <alignment horizontal="center" vertical="center"/>
    </xf>
    <xf numFmtId="3" fontId="14" fillId="2" borderId="0" xfId="9" applyNumberFormat="1" applyFont="1" applyFill="1" applyAlignment="1">
      <alignment horizontal="right" vertical="center"/>
    </xf>
    <xf numFmtId="0" fontId="14" fillId="2" borderId="6" xfId="9" applyFont="1" applyFill="1" applyBorder="1" applyAlignment="1">
      <alignment vertical="center"/>
    </xf>
    <xf numFmtId="3" fontId="14" fillId="2" borderId="0" xfId="9" applyNumberFormat="1" applyFont="1" applyFill="1" applyAlignment="1">
      <alignment horizontal="left" vertical="center"/>
    </xf>
    <xf numFmtId="0" fontId="14" fillId="2" borderId="6" xfId="9" applyFont="1" applyFill="1" applyBorder="1" applyAlignment="1">
      <alignment horizontal="right" vertical="center"/>
    </xf>
    <xf numFmtId="3" fontId="14" fillId="2" borderId="0" xfId="9" applyNumberFormat="1" applyFont="1" applyFill="1" applyAlignment="1">
      <alignment vertical="center"/>
    </xf>
    <xf numFmtId="41" fontId="14" fillId="2" borderId="0" xfId="5" applyFont="1" applyFill="1" applyAlignment="1">
      <alignment horizontal="right" vertical="center"/>
    </xf>
    <xf numFmtId="185" fontId="14" fillId="2" borderId="0" xfId="5" applyNumberFormat="1" applyFont="1" applyFill="1" applyAlignment="1">
      <alignment horizontal="right" vertical="center"/>
    </xf>
    <xf numFmtId="2" fontId="14" fillId="2" borderId="0" xfId="9" applyNumberFormat="1" applyFont="1" applyFill="1" applyAlignment="1">
      <alignment horizontal="center" vertical="center"/>
    </xf>
    <xf numFmtId="41" fontId="14" fillId="2" borderId="8" xfId="5" applyFont="1" applyFill="1" applyBorder="1" applyAlignment="1">
      <alignment horizontal="center" vertical="center"/>
    </xf>
    <xf numFmtId="0" fontId="14" fillId="2" borderId="8" xfId="9" quotePrefix="1" applyFont="1" applyFill="1" applyBorder="1" applyAlignment="1">
      <alignment horizontal="center" vertical="center"/>
    </xf>
    <xf numFmtId="0" fontId="14" fillId="2" borderId="8" xfId="9" applyFont="1" applyFill="1" applyBorder="1" applyAlignment="1">
      <alignment horizontal="center" vertical="center"/>
    </xf>
    <xf numFmtId="0" fontId="14" fillId="2" borderId="8" xfId="9" applyFont="1" applyFill="1" applyBorder="1" applyAlignment="1">
      <alignment vertical="center"/>
    </xf>
    <xf numFmtId="0" fontId="14" fillId="2" borderId="0" xfId="9" quotePrefix="1" applyFont="1" applyFill="1" applyAlignment="1">
      <alignment horizontal="center" vertical="center"/>
    </xf>
    <xf numFmtId="183" fontId="14" fillId="2" borderId="0" xfId="9" applyNumberFormat="1" applyFont="1" applyFill="1" applyAlignment="1">
      <alignment horizontal="center" vertical="center"/>
    </xf>
    <xf numFmtId="3" fontId="14" fillId="2" borderId="0" xfId="9" applyNumberFormat="1" applyFont="1" applyFill="1" applyAlignment="1">
      <alignment horizontal="center" vertical="center"/>
    </xf>
    <xf numFmtId="183" fontId="14" fillId="2" borderId="6" xfId="9" applyNumberFormat="1" applyFont="1" applyFill="1" applyBorder="1" applyAlignment="1">
      <alignment horizontal="center" vertical="center"/>
    </xf>
    <xf numFmtId="0" fontId="14" fillId="2" borderId="7" xfId="9" applyFont="1" applyFill="1" applyBorder="1" applyAlignment="1">
      <alignment vertical="center"/>
    </xf>
    <xf numFmtId="183" fontId="14" fillId="2" borderId="8" xfId="9" applyNumberFormat="1" applyFont="1" applyFill="1" applyBorder="1" applyAlignment="1">
      <alignment horizontal="center" vertical="center"/>
    </xf>
    <xf numFmtId="41" fontId="14" fillId="2" borderId="8" xfId="5" applyFont="1" applyFill="1" applyBorder="1" applyAlignment="1">
      <alignment horizontal="center" vertical="center" shrinkToFit="1"/>
    </xf>
    <xf numFmtId="0" fontId="14" fillId="2" borderId="8" xfId="9" applyFont="1" applyFill="1" applyBorder="1" applyAlignment="1">
      <alignment horizontal="left" vertical="center"/>
    </xf>
    <xf numFmtId="0" fontId="14" fillId="2" borderId="9" xfId="9" applyFont="1" applyFill="1" applyBorder="1" applyAlignment="1">
      <alignment vertical="center"/>
    </xf>
    <xf numFmtId="0" fontId="31" fillId="0" borderId="22" xfId="7" applyFont="1" applyBorder="1" applyAlignment="1">
      <alignment horizontal="center" vertical="center"/>
    </xf>
    <xf numFmtId="0" fontId="29" fillId="3" borderId="1" xfId="0" applyFont="1" applyFill="1" applyBorder="1" applyAlignment="1">
      <alignment horizontal="center" vertical="center" shrinkToFit="1"/>
    </xf>
    <xf numFmtId="41" fontId="29" fillId="3" borderId="1" xfId="3" applyFont="1" applyFill="1" applyBorder="1" applyAlignment="1">
      <alignment horizontal="center" vertical="center" shrinkToFit="1"/>
    </xf>
    <xf numFmtId="0" fontId="31" fillId="0" borderId="2" xfId="11" applyFont="1" applyBorder="1" applyAlignment="1">
      <alignment horizontal="center" vertical="center"/>
    </xf>
    <xf numFmtId="0" fontId="32" fillId="0" borderId="3" xfId="11" applyFont="1" applyBorder="1" applyAlignment="1">
      <alignment horizontal="left" vertical="center"/>
    </xf>
    <xf numFmtId="0" fontId="31" fillId="0" borderId="3" xfId="11" applyFont="1" applyBorder="1" applyAlignment="1">
      <alignment horizontal="center" vertical="center"/>
    </xf>
    <xf numFmtId="0" fontId="31" fillId="0" borderId="4" xfId="11" applyFont="1" applyBorder="1" applyAlignment="1">
      <alignment horizontal="center" vertical="center"/>
    </xf>
    <xf numFmtId="0" fontId="29" fillId="0" borderId="5" xfId="11" applyFont="1" applyBorder="1" applyAlignment="1">
      <alignment horizontal="center" vertical="center"/>
    </xf>
    <xf numFmtId="0" fontId="31" fillId="0" borderId="0" xfId="11" applyFont="1" applyAlignment="1">
      <alignment horizontal="left" vertical="center"/>
    </xf>
    <xf numFmtId="0" fontId="29" fillId="0" borderId="0" xfId="11" applyFont="1" applyAlignment="1">
      <alignment vertical="center"/>
    </xf>
    <xf numFmtId="0" fontId="29" fillId="0" borderId="0" xfId="11" applyFont="1" applyAlignment="1">
      <alignment horizontal="center" vertical="center"/>
    </xf>
    <xf numFmtId="0" fontId="29" fillId="0" borderId="6" xfId="11" applyFont="1" applyBorder="1" applyAlignment="1">
      <alignment horizontal="center" vertical="center"/>
    </xf>
    <xf numFmtId="0" fontId="29" fillId="0" borderId="23" xfId="11" applyFont="1" applyBorder="1" applyAlignment="1">
      <alignment horizontal="center" vertical="center"/>
    </xf>
    <xf numFmtId="0" fontId="29" fillId="0" borderId="16" xfId="11" applyFont="1" applyBorder="1" applyAlignment="1">
      <alignment horizontal="center" vertical="center"/>
    </xf>
    <xf numFmtId="189" fontId="29" fillId="0" borderId="17" xfId="11" applyNumberFormat="1" applyFont="1" applyBorder="1" applyAlignment="1">
      <alignment horizontal="center" vertical="center"/>
    </xf>
    <xf numFmtId="189" fontId="29" fillId="0" borderId="18" xfId="11" applyNumberFormat="1" applyFont="1" applyBorder="1" applyAlignment="1">
      <alignment horizontal="center" vertical="center"/>
    </xf>
    <xf numFmtId="189" fontId="29" fillId="0" borderId="19" xfId="11" applyNumberFormat="1" applyFont="1" applyBorder="1" applyAlignment="1">
      <alignment horizontal="center" vertical="center"/>
    </xf>
    <xf numFmtId="189" fontId="29" fillId="0" borderId="21" xfId="11" applyNumberFormat="1" applyFont="1" applyBorder="1" applyAlignment="1">
      <alignment horizontal="center" vertical="center"/>
    </xf>
    <xf numFmtId="0" fontId="29" fillId="0" borderId="5" xfId="11" applyFont="1" applyBorder="1" applyAlignment="1">
      <alignment vertical="center"/>
    </xf>
    <xf numFmtId="0" fontId="29" fillId="0" borderId="6" xfId="11" applyFont="1" applyBorder="1" applyAlignment="1">
      <alignment vertical="center"/>
    </xf>
    <xf numFmtId="0" fontId="29" fillId="0" borderId="15" xfId="11" applyFont="1" applyBorder="1" applyAlignment="1">
      <alignment horizontal="center" vertical="center"/>
    </xf>
    <xf numFmtId="0" fontId="31" fillId="0" borderId="5" xfId="11" applyFont="1" applyBorder="1" applyAlignment="1">
      <alignment vertical="center"/>
    </xf>
    <xf numFmtId="189" fontId="29" fillId="0" borderId="20" xfId="11" applyNumberFormat="1" applyFont="1" applyBorder="1" applyAlignment="1">
      <alignment horizontal="center" vertical="center"/>
    </xf>
    <xf numFmtId="189" fontId="31" fillId="0" borderId="0" xfId="11" applyNumberFormat="1" applyFont="1" applyAlignment="1">
      <alignment horizontal="center" vertical="center"/>
    </xf>
    <xf numFmtId="0" fontId="29" fillId="0" borderId="0" xfId="11" quotePrefix="1" applyFont="1" applyAlignment="1">
      <alignment vertical="center"/>
    </xf>
    <xf numFmtId="0" fontId="31" fillId="0" borderId="5" xfId="11" applyFont="1" applyBorder="1" applyAlignment="1">
      <alignment horizontal="center" vertical="center"/>
    </xf>
    <xf numFmtId="189" fontId="29" fillId="0" borderId="0" xfId="11" applyNumberFormat="1" applyFont="1" applyAlignment="1">
      <alignment horizontal="center" vertical="center"/>
    </xf>
    <xf numFmtId="189" fontId="29" fillId="0" borderId="0" xfId="11" quotePrefix="1" applyNumberFormat="1" applyFont="1" applyAlignment="1">
      <alignment horizontal="right" vertical="center"/>
    </xf>
    <xf numFmtId="194" fontId="29" fillId="0" borderId="0" xfId="11" applyNumberFormat="1" applyFont="1" applyAlignment="1">
      <alignment horizontal="left" vertical="center"/>
    </xf>
    <xf numFmtId="189" fontId="29" fillId="0" borderId="0" xfId="11" applyNumberFormat="1" applyFont="1" applyAlignment="1">
      <alignment vertical="center" shrinkToFit="1"/>
    </xf>
    <xf numFmtId="0" fontId="31" fillId="3" borderId="16" xfId="11" applyFont="1" applyFill="1" applyBorder="1" applyAlignment="1">
      <alignment horizontal="center" vertical="center" shrinkToFit="1"/>
    </xf>
    <xf numFmtId="189" fontId="31" fillId="3" borderId="21" xfId="11" applyNumberFormat="1" applyFont="1" applyFill="1" applyBorder="1" applyAlignment="1">
      <alignment horizontal="center" vertical="center"/>
    </xf>
    <xf numFmtId="189" fontId="29" fillId="0" borderId="5" xfId="11" applyNumberFormat="1" applyFont="1" applyBorder="1" applyAlignment="1">
      <alignment horizontal="center" vertical="center"/>
    </xf>
    <xf numFmtId="184" fontId="33" fillId="0" borderId="0" xfId="12" applyFont="1" applyAlignment="1">
      <alignment horizontal="right" vertical="center"/>
    </xf>
    <xf numFmtId="191" fontId="33" fillId="0" borderId="0" xfId="11" applyNumberFormat="1" applyFont="1" applyAlignment="1">
      <alignment horizontal="left" vertical="center"/>
    </xf>
    <xf numFmtId="184" fontId="31" fillId="0" borderId="0" xfId="12" applyFont="1" applyAlignment="1">
      <alignment horizontal="center" vertical="center"/>
    </xf>
    <xf numFmtId="0" fontId="31" fillId="0" borderId="0" xfId="11" applyFont="1" applyAlignment="1">
      <alignment horizontal="center" vertical="center"/>
    </xf>
    <xf numFmtId="0" fontId="31" fillId="0" borderId="0" xfId="11" applyFont="1" applyAlignment="1">
      <alignment vertical="center"/>
    </xf>
    <xf numFmtId="189" fontId="31" fillId="0" borderId="0" xfId="11" applyNumberFormat="1" applyFont="1" applyAlignment="1">
      <alignment vertical="center" shrinkToFit="1"/>
    </xf>
    <xf numFmtId="189" fontId="31" fillId="0" borderId="0" xfId="11" applyNumberFormat="1" applyFont="1" applyAlignment="1">
      <alignment vertical="center"/>
    </xf>
    <xf numFmtId="0" fontId="31" fillId="0" borderId="6" xfId="11" applyFont="1" applyBorder="1" applyAlignment="1">
      <alignment horizontal="center" vertical="center"/>
    </xf>
    <xf numFmtId="0" fontId="29" fillId="0" borderId="7" xfId="11" applyFont="1" applyBorder="1" applyAlignment="1">
      <alignment horizontal="center" vertical="center"/>
    </xf>
    <xf numFmtId="184" fontId="31" fillId="0" borderId="8" xfId="12" applyFont="1" applyBorder="1" applyAlignment="1">
      <alignment horizontal="center" vertical="center"/>
    </xf>
    <xf numFmtId="0" fontId="31" fillId="0" borderId="8" xfId="11" applyFont="1" applyBorder="1" applyAlignment="1">
      <alignment horizontal="center" vertical="center"/>
    </xf>
    <xf numFmtId="0" fontId="29" fillId="0" borderId="8" xfId="11" applyFont="1" applyBorder="1" applyAlignment="1">
      <alignment vertical="center"/>
    </xf>
    <xf numFmtId="0" fontId="29" fillId="0" borderId="8" xfId="11" applyFont="1" applyBorder="1" applyAlignment="1">
      <alignment horizontal="center" vertical="center" shrinkToFit="1"/>
    </xf>
    <xf numFmtId="0" fontId="29" fillId="0" borderId="9" xfId="11" applyFont="1" applyBorder="1" applyAlignment="1">
      <alignment vertical="center"/>
    </xf>
    <xf numFmtId="41" fontId="29" fillId="0" borderId="1" xfId="3" applyFont="1" applyBorder="1" applyAlignment="1">
      <alignment horizontal="right" vertical="center" shrinkToFit="1"/>
    </xf>
    <xf numFmtId="0" fontId="8" fillId="0" borderId="0" xfId="0" applyFont="1" applyAlignment="1">
      <alignment horizontal="center" vertical="center"/>
    </xf>
    <xf numFmtId="0" fontId="8" fillId="0" borderId="3" xfId="0" applyFont="1" applyBorder="1" applyAlignment="1">
      <alignment horizontal="center" vertical="center"/>
    </xf>
    <xf numFmtId="0" fontId="8" fillId="0" borderId="0" xfId="0" applyFont="1" applyAlignment="1">
      <alignment vertical="center" shrinkToFit="1"/>
    </xf>
    <xf numFmtId="0" fontId="14" fillId="3" borderId="0" xfId="9" applyFont="1" applyFill="1" applyAlignment="1">
      <alignment horizontal="left" vertical="center"/>
    </xf>
    <xf numFmtId="41" fontId="14" fillId="0" borderId="20" xfId="3" applyFont="1" applyBorder="1" applyAlignment="1">
      <alignment horizontal="center" vertical="center" shrinkToFit="1"/>
    </xf>
    <xf numFmtId="0" fontId="31" fillId="4" borderId="15" xfId="11" applyFont="1" applyFill="1" applyBorder="1" applyAlignment="1">
      <alignment horizontal="center" vertical="center"/>
    </xf>
    <xf numFmtId="189" fontId="31" fillId="4" borderId="20" xfId="11" applyNumberFormat="1" applyFont="1" applyFill="1" applyBorder="1" applyAlignment="1">
      <alignment horizontal="center" vertical="center"/>
    </xf>
    <xf numFmtId="0" fontId="31" fillId="4" borderId="23" xfId="11" applyFont="1" applyFill="1" applyBorder="1" applyAlignment="1">
      <alignment horizontal="center" vertical="center"/>
    </xf>
    <xf numFmtId="192" fontId="31" fillId="4" borderId="19" xfId="11" applyNumberFormat="1" applyFont="1" applyFill="1" applyBorder="1" applyAlignment="1">
      <alignment horizontal="center" vertical="center"/>
    </xf>
    <xf numFmtId="189" fontId="29" fillId="2" borderId="17" xfId="11" applyNumberFormat="1" applyFont="1" applyFill="1" applyBorder="1" applyAlignment="1">
      <alignment horizontal="center" vertical="center"/>
    </xf>
    <xf numFmtId="189" fontId="29" fillId="2" borderId="18" xfId="11" applyNumberFormat="1" applyFont="1" applyFill="1" applyBorder="1" applyAlignment="1">
      <alignment horizontal="center" vertical="center"/>
    </xf>
    <xf numFmtId="0" fontId="29" fillId="2" borderId="15" xfId="11" applyFont="1" applyFill="1" applyBorder="1" applyAlignment="1">
      <alignment horizontal="center" vertical="center"/>
    </xf>
    <xf numFmtId="189" fontId="29" fillId="2" borderId="20" xfId="11" applyNumberFormat="1" applyFont="1" applyFill="1" applyBorder="1" applyAlignment="1">
      <alignment horizontal="center" vertical="center"/>
    </xf>
    <xf numFmtId="189" fontId="31" fillId="4" borderId="19" xfId="11" applyNumberFormat="1" applyFont="1" applyFill="1" applyBorder="1" applyAlignment="1">
      <alignment horizontal="center" vertical="center"/>
    </xf>
    <xf numFmtId="189" fontId="31" fillId="4" borderId="21" xfId="11" applyNumberFormat="1" applyFont="1" applyFill="1" applyBorder="1" applyAlignment="1">
      <alignment horizontal="center" vertical="center"/>
    </xf>
    <xf numFmtId="0" fontId="3" fillId="0" borderId="0" xfId="13">
      <alignment vertical="center"/>
    </xf>
    <xf numFmtId="0" fontId="3" fillId="0" borderId="0" xfId="13" applyAlignment="1">
      <alignment horizontal="left" vertical="center"/>
    </xf>
    <xf numFmtId="187" fontId="29" fillId="0" borderId="1" xfId="3" applyNumberFormat="1" applyFont="1" applyBorder="1" applyAlignment="1">
      <alignment horizontal="center" vertical="center" shrinkToFit="1"/>
    </xf>
    <xf numFmtId="0" fontId="34" fillId="5" borderId="24" xfId="0" applyFont="1" applyFill="1" applyBorder="1" applyAlignment="1">
      <alignment horizontal="center" vertical="center" wrapText="1"/>
    </xf>
    <xf numFmtId="0" fontId="34" fillId="5" borderId="25" xfId="0" applyFont="1" applyFill="1" applyBorder="1" applyAlignment="1">
      <alignment horizontal="center" vertical="center" wrapText="1"/>
    </xf>
    <xf numFmtId="0" fontId="34" fillId="0" borderId="25" xfId="0" applyFont="1" applyBorder="1" applyAlignment="1">
      <alignment horizontal="right" vertical="center" wrapText="1"/>
    </xf>
    <xf numFmtId="0" fontId="34" fillId="0" borderId="25" xfId="0" applyFont="1" applyBorder="1" applyAlignment="1">
      <alignment horizontal="center" vertical="center" wrapText="1"/>
    </xf>
    <xf numFmtId="0" fontId="34" fillId="0" borderId="24" xfId="0" applyFont="1" applyBorder="1" applyAlignment="1">
      <alignment horizontal="center" vertical="center" wrapText="1"/>
    </xf>
    <xf numFmtId="0" fontId="34" fillId="0" borderId="26" xfId="0" applyFont="1" applyBorder="1" applyAlignment="1">
      <alignment horizontal="center" vertical="center" wrapText="1"/>
    </xf>
    <xf numFmtId="0" fontId="34" fillId="0" borderId="27" xfId="0" applyFont="1" applyBorder="1" applyAlignment="1">
      <alignment horizontal="center" vertical="center" wrapText="1"/>
    </xf>
    <xf numFmtId="0" fontId="34" fillId="5" borderId="27" xfId="0" applyFont="1" applyFill="1" applyBorder="1" applyAlignment="1">
      <alignment horizontal="center" vertical="center" wrapText="1"/>
    </xf>
    <xf numFmtId="0" fontId="34" fillId="0" borderId="0" xfId="13" applyFont="1" applyAlignment="1">
      <alignment vertical="center" wrapText="1"/>
    </xf>
    <xf numFmtId="0" fontId="0" fillId="0" borderId="0" xfId="0" applyAlignment="1">
      <alignment horizontal="left" vertical="center" wrapText="1"/>
    </xf>
    <xf numFmtId="0" fontId="35" fillId="6" borderId="28" xfId="0" applyFont="1" applyFill="1" applyBorder="1" applyAlignment="1">
      <alignment horizontal="center" vertical="center" wrapText="1"/>
    </xf>
    <xf numFmtId="0" fontId="34" fillId="6" borderId="29" xfId="0" applyFont="1" applyFill="1" applyBorder="1" applyAlignment="1">
      <alignment horizontal="center" vertical="center" wrapText="1"/>
    </xf>
    <xf numFmtId="0" fontId="9" fillId="2" borderId="30" xfId="9" applyFont="1" applyFill="1" applyBorder="1" applyAlignment="1">
      <alignment vertical="center"/>
    </xf>
    <xf numFmtId="0" fontId="9" fillId="2" borderId="31" xfId="9" applyFont="1" applyFill="1" applyBorder="1" applyAlignment="1">
      <alignment vertical="center"/>
    </xf>
    <xf numFmtId="41" fontId="9" fillId="2" borderId="32" xfId="1" applyFont="1" applyFill="1" applyBorder="1" applyAlignment="1">
      <alignment horizontal="center" vertical="center"/>
    </xf>
    <xf numFmtId="0" fontId="9" fillId="2" borderId="32" xfId="9" applyFont="1" applyFill="1" applyBorder="1" applyAlignment="1">
      <alignment horizontal="center" vertical="center"/>
    </xf>
    <xf numFmtId="187" fontId="9" fillId="2" borderId="32" xfId="9" applyNumberFormat="1" applyFont="1" applyFill="1" applyBorder="1" applyAlignment="1">
      <alignment horizontal="center" vertical="center"/>
    </xf>
    <xf numFmtId="41" fontId="9" fillId="2" borderId="32" xfId="9" applyNumberFormat="1" applyFont="1" applyFill="1" applyBorder="1" applyAlignment="1">
      <alignment horizontal="center" vertical="center"/>
    </xf>
    <xf numFmtId="24" fontId="24" fillId="0" borderId="0" xfId="2" quotePrefix="1" applyFont="1" applyAlignment="1">
      <alignment horizontal="left" vertical="center"/>
    </xf>
    <xf numFmtId="196" fontId="0" fillId="0" borderId="0" xfId="0" applyNumberFormat="1" applyAlignment="1"/>
    <xf numFmtId="0" fontId="36" fillId="0" borderId="0" xfId="10" applyFont="1">
      <alignment vertical="center"/>
    </xf>
    <xf numFmtId="0" fontId="24" fillId="0" borderId="0" xfId="10" applyFont="1" applyAlignment="1">
      <alignment vertical="center" shrinkToFit="1"/>
    </xf>
    <xf numFmtId="0" fontId="37" fillId="0" borderId="0" xfId="10" applyFont="1">
      <alignment vertical="center"/>
    </xf>
    <xf numFmtId="195" fontId="38" fillId="0" borderId="0" xfId="10" applyNumberFormat="1" applyFont="1">
      <alignment vertical="center"/>
    </xf>
    <xf numFmtId="180" fontId="38" fillId="0" borderId="0" xfId="10" applyNumberFormat="1" applyFont="1">
      <alignment vertical="center"/>
    </xf>
    <xf numFmtId="0" fontId="39" fillId="0" borderId="33" xfId="0" applyFont="1" applyBorder="1" applyAlignment="1">
      <alignment horizontal="center" vertical="center" wrapText="1"/>
    </xf>
    <xf numFmtId="0" fontId="40" fillId="0" borderId="34" xfId="0" applyFont="1" applyBorder="1" applyAlignment="1">
      <alignment horizontal="justify" vertical="center" wrapText="1"/>
    </xf>
    <xf numFmtId="0" fontId="41" fillId="0" borderId="35" xfId="0" applyFont="1" applyBorder="1" applyAlignment="1">
      <alignment horizontal="center" vertical="center" wrapText="1"/>
    </xf>
    <xf numFmtId="0" fontId="42" fillId="0" borderId="36" xfId="0" applyFont="1" applyBorder="1" applyAlignment="1">
      <alignment horizontal="center" vertical="center" wrapText="1"/>
    </xf>
    <xf numFmtId="0" fontId="42" fillId="0" borderId="33" xfId="0" applyFont="1" applyBorder="1" applyAlignment="1">
      <alignment horizontal="center" vertical="center" wrapText="1"/>
    </xf>
    <xf numFmtId="0" fontId="0" fillId="0" borderId="37" xfId="0" applyBorder="1" applyAlignment="1">
      <alignment vertical="center" wrapText="1"/>
    </xf>
    <xf numFmtId="0" fontId="0" fillId="0" borderId="38" xfId="0" applyBorder="1" applyAlignment="1">
      <alignment horizontal="center" vertical="center" wrapText="1"/>
    </xf>
    <xf numFmtId="0" fontId="0" fillId="7" borderId="25" xfId="0" applyFill="1" applyBorder="1" applyAlignment="1">
      <alignment horizontal="center" vertical="center" wrapText="1"/>
    </xf>
    <xf numFmtId="0" fontId="0" fillId="0" borderId="25" xfId="0" applyBorder="1" applyAlignment="1">
      <alignment horizontal="center" vertical="center" wrapText="1"/>
    </xf>
    <xf numFmtId="0" fontId="42" fillId="0" borderId="39" xfId="0" applyFont="1" applyBorder="1" applyAlignment="1">
      <alignment horizontal="center" vertical="center" wrapText="1"/>
    </xf>
    <xf numFmtId="0" fontId="43" fillId="0" borderId="25" xfId="0" applyFont="1" applyBorder="1" applyAlignment="1">
      <alignment horizontal="center" vertical="center" wrapText="1"/>
    </xf>
    <xf numFmtId="0" fontId="42" fillId="0" borderId="40" xfId="0" applyFont="1" applyBorder="1" applyAlignment="1">
      <alignment horizontal="center" vertical="center" wrapText="1"/>
    </xf>
    <xf numFmtId="0" fontId="44" fillId="0" borderId="25" xfId="0" applyFont="1" applyBorder="1" applyAlignment="1">
      <alignment horizontal="center" vertical="center" wrapText="1"/>
    </xf>
    <xf numFmtId="0" fontId="45" fillId="0" borderId="25" xfId="0" applyFont="1" applyBorder="1" applyAlignment="1">
      <alignment horizontal="center" vertical="center" wrapText="1"/>
    </xf>
    <xf numFmtId="0" fontId="34" fillId="0" borderId="41" xfId="0" applyFont="1" applyBorder="1" applyAlignment="1">
      <alignment horizontal="center" vertical="center" wrapText="1"/>
    </xf>
    <xf numFmtId="0" fontId="42" fillId="0" borderId="42" xfId="0" applyFont="1" applyBorder="1" applyAlignment="1">
      <alignment horizontal="center" vertical="center" wrapText="1"/>
    </xf>
    <xf numFmtId="0" fontId="34" fillId="0" borderId="43" xfId="0" applyFont="1" applyBorder="1" applyAlignment="1">
      <alignment horizontal="center" vertical="center" wrapText="1"/>
    </xf>
    <xf numFmtId="0" fontId="34" fillId="0" borderId="44" xfId="0" applyFont="1" applyBorder="1" applyAlignment="1">
      <alignment horizontal="center" vertical="center" wrapText="1"/>
    </xf>
    <xf numFmtId="0" fontId="40" fillId="0" borderId="45" xfId="0" applyFont="1" applyBorder="1" applyAlignment="1">
      <alignment horizontal="right" vertical="center" wrapText="1"/>
    </xf>
    <xf numFmtId="0" fontId="46" fillId="0" borderId="0" xfId="0" applyFont="1" applyAlignment="1">
      <alignment horizontal="center" vertical="center"/>
    </xf>
    <xf numFmtId="0" fontId="47" fillId="0" borderId="0" xfId="0" applyFont="1" applyAlignment="1">
      <alignment horizontal="left" vertical="center"/>
    </xf>
    <xf numFmtId="0" fontId="48" fillId="0" borderId="0" xfId="0" applyFont="1" applyAlignment="1">
      <alignment horizontal="left" vertical="center"/>
    </xf>
    <xf numFmtId="0" fontId="47" fillId="0" borderId="0" xfId="0" applyFont="1" applyAlignment="1">
      <alignment horizontal="justify" vertical="center"/>
    </xf>
    <xf numFmtId="0" fontId="47" fillId="0" borderId="0" xfId="0" applyFont="1" applyAlignment="1"/>
    <xf numFmtId="0" fontId="47" fillId="0" borderId="0" xfId="0" applyFont="1" applyAlignment="1">
      <alignment horizontal="left"/>
    </xf>
    <xf numFmtId="0" fontId="4" fillId="0" borderId="0" xfId="14"/>
    <xf numFmtId="0" fontId="86" fillId="0" borderId="0" xfId="17" applyAlignment="1">
      <alignment vertical="center"/>
    </xf>
    <xf numFmtId="0" fontId="34" fillId="0" borderId="0" xfId="16" applyFont="1" applyAlignment="1">
      <alignment horizontal="left" vertical="center"/>
    </xf>
    <xf numFmtId="0" fontId="34" fillId="0" borderId="0" xfId="16" applyFont="1" applyAlignment="1">
      <alignment vertical="center"/>
    </xf>
    <xf numFmtId="0" fontId="34" fillId="0" borderId="0" xfId="16" applyFont="1" applyAlignment="1">
      <alignment horizontal="center" vertical="center"/>
    </xf>
    <xf numFmtId="0" fontId="39" fillId="0" borderId="0" xfId="16" applyFont="1" applyAlignment="1">
      <alignment vertical="center"/>
    </xf>
    <xf numFmtId="0" fontId="49" fillId="2" borderId="47" xfId="19" applyFont="1" applyFill="1" applyBorder="1" applyAlignment="1">
      <alignment vertical="center" wrapText="1"/>
    </xf>
    <xf numFmtId="0" fontId="49" fillId="2" borderId="48" xfId="19" applyFont="1" applyFill="1" applyBorder="1" applyAlignment="1">
      <alignment vertical="center" wrapText="1"/>
    </xf>
    <xf numFmtId="0" fontId="49" fillId="0" borderId="19" xfId="17" applyFont="1" applyBorder="1" applyAlignment="1">
      <alignment horizontal="center" vertical="center"/>
    </xf>
    <xf numFmtId="204" fontId="49" fillId="0" borderId="49" xfId="17" applyNumberFormat="1" applyFont="1" applyBorder="1" applyAlignment="1">
      <alignment horizontal="center" vertical="center"/>
    </xf>
    <xf numFmtId="183" fontId="49" fillId="0" borderId="50" xfId="17" applyNumberFormat="1" applyFont="1" applyBorder="1" applyAlignment="1">
      <alignment horizontal="center" vertical="center"/>
    </xf>
    <xf numFmtId="0" fontId="86" fillId="0" borderId="0" xfId="20" applyAlignment="1">
      <alignment vertical="center"/>
    </xf>
    <xf numFmtId="0" fontId="47" fillId="0" borderId="0" xfId="0" applyFont="1">
      <alignment vertical="center"/>
    </xf>
    <xf numFmtId="0" fontId="50" fillId="0" borderId="0" xfId="0" applyFont="1" applyAlignment="1">
      <alignment horizontal="justify" vertical="center"/>
    </xf>
    <xf numFmtId="0" fontId="51" fillId="0" borderId="0" xfId="0" applyFont="1" applyAlignment="1">
      <alignment horizontal="justify" vertical="center"/>
    </xf>
    <xf numFmtId="0" fontId="52" fillId="0" borderId="0" xfId="0" applyFont="1" applyAlignment="1">
      <alignment horizontal="justify" vertical="center"/>
    </xf>
    <xf numFmtId="0" fontId="53" fillId="0" borderId="0" xfId="0" applyFont="1" applyAlignment="1">
      <alignment horizontal="justify" vertical="center"/>
    </xf>
    <xf numFmtId="0" fontId="53" fillId="0" borderId="51" xfId="0" applyFont="1" applyBorder="1" applyAlignment="1">
      <alignment horizontal="justify" vertical="center" wrapText="1"/>
    </xf>
    <xf numFmtId="0" fontId="54" fillId="0" borderId="0" xfId="0" applyFont="1" applyAlignment="1">
      <alignment horizontal="justify" vertical="center"/>
    </xf>
    <xf numFmtId="0" fontId="55" fillId="0" borderId="0" xfId="0" applyFont="1" applyAlignment="1">
      <alignment horizontal="center" vertical="center"/>
    </xf>
    <xf numFmtId="0" fontId="7" fillId="0" borderId="0" xfId="0" applyFont="1" applyAlignment="1">
      <alignment horizontal="justify" vertical="center"/>
    </xf>
    <xf numFmtId="0" fontId="56" fillId="0" borderId="0" xfId="0" applyFont="1" applyAlignment="1">
      <alignment horizontal="justify" vertical="center"/>
    </xf>
    <xf numFmtId="0" fontId="7" fillId="0" borderId="52" xfId="0" applyFont="1" applyBorder="1" applyAlignment="1">
      <alignment vertical="center" wrapText="1"/>
    </xf>
    <xf numFmtId="0" fontId="7" fillId="0" borderId="53" xfId="0" applyFont="1" applyBorder="1" applyAlignment="1">
      <alignment vertical="center" wrapText="1"/>
    </xf>
    <xf numFmtId="0" fontId="7" fillId="0" borderId="54" xfId="0" applyFont="1" applyBorder="1" applyAlignment="1">
      <alignment vertical="center" wrapText="1"/>
    </xf>
    <xf numFmtId="0" fontId="7" fillId="0" borderId="55" xfId="0" applyFont="1" applyBorder="1" applyAlignment="1">
      <alignment vertical="center" wrapText="1"/>
    </xf>
    <xf numFmtId="0" fontId="57" fillId="5" borderId="56" xfId="0" applyFont="1" applyFill="1" applyBorder="1" applyAlignment="1">
      <alignment horizontal="center" vertical="center" wrapText="1"/>
    </xf>
    <xf numFmtId="0" fontId="29" fillId="0" borderId="52" xfId="0" applyFont="1" applyBorder="1" applyAlignment="1">
      <alignment horizontal="center" vertical="center" wrapText="1"/>
    </xf>
    <xf numFmtId="0" fontId="58" fillId="0" borderId="52" xfId="0" applyFont="1" applyBorder="1" applyAlignment="1">
      <alignment horizontal="justify" vertical="center" wrapText="1"/>
    </xf>
    <xf numFmtId="0" fontId="29" fillId="0" borderId="55" xfId="0" applyFont="1" applyBorder="1" applyAlignment="1">
      <alignment horizontal="center" vertical="center" wrapText="1"/>
    </xf>
    <xf numFmtId="0" fontId="58" fillId="0" borderId="55" xfId="0" applyFont="1" applyBorder="1" applyAlignment="1">
      <alignment horizontal="justify" vertical="center" wrapText="1"/>
    </xf>
    <xf numFmtId="0" fontId="29" fillId="0" borderId="54" xfId="0" applyFont="1" applyBorder="1" applyAlignment="1">
      <alignment horizontal="center" vertical="center" wrapText="1"/>
    </xf>
    <xf numFmtId="0" fontId="0" fillId="0" borderId="54" xfId="0" applyBorder="1" applyAlignment="1">
      <alignment vertical="center" wrapText="1"/>
    </xf>
    <xf numFmtId="0" fontId="0" fillId="0" borderId="57" xfId="0" applyBorder="1" applyAlignment="1">
      <alignment vertical="center" wrapText="1"/>
    </xf>
    <xf numFmtId="0" fontId="59" fillId="0" borderId="55" xfId="0" applyFont="1" applyBorder="1" applyAlignment="1">
      <alignment horizontal="center" vertical="center" wrapText="1"/>
    </xf>
    <xf numFmtId="0" fontId="0" fillId="0" borderId="55" xfId="0" applyBorder="1" applyAlignment="1">
      <alignment vertical="center" wrapText="1"/>
    </xf>
    <xf numFmtId="0" fontId="0" fillId="0" borderId="52" xfId="0" applyBorder="1" applyAlignment="1">
      <alignment vertical="center" wrapText="1"/>
    </xf>
    <xf numFmtId="0" fontId="57" fillId="5" borderId="52" xfId="0" applyFont="1" applyFill="1" applyBorder="1" applyAlignment="1">
      <alignment horizontal="center" vertical="center" wrapText="1"/>
    </xf>
    <xf numFmtId="0" fontId="29" fillId="0" borderId="52" xfId="0" applyFont="1" applyBorder="1" applyAlignment="1">
      <alignment horizontal="justify" vertical="center" wrapText="1"/>
    </xf>
    <xf numFmtId="190" fontId="29" fillId="0" borderId="55" xfId="0" applyNumberFormat="1" applyFont="1" applyBorder="1" applyAlignment="1">
      <alignment horizontal="center" vertical="center" wrapText="1"/>
    </xf>
    <xf numFmtId="190" fontId="29" fillId="0" borderId="52" xfId="0" applyNumberFormat="1" applyFont="1" applyBorder="1" applyAlignment="1">
      <alignment horizontal="center" vertical="center" wrapText="1"/>
    </xf>
    <xf numFmtId="0" fontId="29" fillId="0" borderId="55" xfId="0" applyFont="1" applyBorder="1" applyAlignment="1">
      <alignment horizontal="justify" vertical="center" wrapText="1"/>
    </xf>
    <xf numFmtId="0" fontId="60" fillId="0" borderId="0" xfId="0" applyFont="1" applyAlignment="1">
      <alignment horizontal="justify" vertical="center"/>
    </xf>
    <xf numFmtId="0" fontId="61" fillId="0" borderId="0" xfId="0" applyFont="1" applyAlignment="1">
      <alignment horizontal="justify" vertical="center"/>
    </xf>
    <xf numFmtId="0" fontId="31" fillId="5" borderId="56" xfId="0" applyFont="1" applyFill="1" applyBorder="1" applyAlignment="1">
      <alignment horizontal="center" vertical="center" wrapText="1"/>
    </xf>
    <xf numFmtId="0" fontId="62" fillId="0" borderId="0" xfId="0" applyFont="1" applyAlignment="1">
      <alignment horizontal="justify" vertical="center"/>
    </xf>
    <xf numFmtId="0" fontId="59" fillId="0" borderId="54" xfId="0" applyFont="1" applyBorder="1" applyAlignment="1">
      <alignment horizontal="center" vertical="center" wrapText="1"/>
    </xf>
    <xf numFmtId="0" fontId="7" fillId="0" borderId="55" xfId="0" applyFont="1" applyBorder="1" applyAlignment="1">
      <alignment horizontal="center" vertical="center" wrapText="1"/>
    </xf>
    <xf numFmtId="0" fontId="7" fillId="0" borderId="52" xfId="0" applyFont="1" applyBorder="1" applyAlignment="1">
      <alignment horizontal="center" vertical="center" wrapText="1"/>
    </xf>
    <xf numFmtId="0" fontId="59" fillId="0" borderId="0" xfId="0" applyFont="1" applyAlignment="1">
      <alignment horizontal="justify" vertical="center"/>
    </xf>
    <xf numFmtId="0" fontId="63" fillId="0" borderId="0" xfId="0" applyFont="1" applyAlignment="1">
      <alignment horizontal="justify" vertical="center"/>
    </xf>
    <xf numFmtId="0" fontId="32" fillId="0" borderId="58" xfId="0" applyFont="1" applyBorder="1" applyAlignment="1">
      <alignment horizontal="right" vertical="center" wrapText="1"/>
    </xf>
    <xf numFmtId="0" fontId="32" fillId="0" borderId="57" xfId="0" applyFont="1" applyBorder="1" applyAlignment="1">
      <alignment horizontal="justify" vertical="center" wrapText="1"/>
    </xf>
    <xf numFmtId="0" fontId="14" fillId="0" borderId="57" xfId="0" applyFont="1" applyBorder="1" applyAlignment="1">
      <alignment horizontal="justify" vertical="center" wrapText="1"/>
    </xf>
    <xf numFmtId="0" fontId="14" fillId="0" borderId="52" xfId="0" applyFont="1" applyBorder="1" applyAlignment="1">
      <alignment horizontal="justify" vertical="center" wrapText="1"/>
    </xf>
    <xf numFmtId="0" fontId="14" fillId="0" borderId="55" xfId="0" applyFont="1" applyBorder="1" applyAlignment="1">
      <alignment horizontal="justify" vertical="center" wrapText="1"/>
    </xf>
    <xf numFmtId="0" fontId="11" fillId="0" borderId="55" xfId="0" applyFont="1" applyBorder="1" applyAlignment="1">
      <alignment horizontal="justify" vertical="center" wrapText="1"/>
    </xf>
    <xf numFmtId="0" fontId="11" fillId="0" borderId="52" xfId="0" applyFont="1" applyBorder="1" applyAlignment="1">
      <alignment horizontal="justify" vertical="center" wrapText="1"/>
    </xf>
    <xf numFmtId="0" fontId="11" fillId="0" borderId="54" xfId="0" applyFont="1" applyBorder="1" applyAlignment="1">
      <alignment horizontal="center" vertical="center" wrapText="1"/>
    </xf>
    <xf numFmtId="0" fontId="64" fillId="0" borderId="0" xfId="0" applyFont="1" applyAlignment="1">
      <alignment horizontal="justify" vertical="center"/>
    </xf>
    <xf numFmtId="0" fontId="86" fillId="0" borderId="0" xfId="0" applyFont="1" applyAlignment="1"/>
    <xf numFmtId="41" fontId="9" fillId="2" borderId="0" xfId="1" quotePrefix="1" applyFont="1" applyFill="1" applyAlignment="1">
      <alignment horizontal="center" vertical="center"/>
    </xf>
    <xf numFmtId="185" fontId="15" fillId="2" borderId="0" xfId="1" applyNumberFormat="1" applyFont="1" applyFill="1">
      <alignment vertical="center"/>
    </xf>
    <xf numFmtId="205" fontId="88" fillId="0" borderId="123" xfId="0" applyNumberFormat="1" applyFont="1" applyBorder="1" applyAlignment="1">
      <alignment horizontal="center" vertical="center" wrapText="1"/>
    </xf>
    <xf numFmtId="0" fontId="88" fillId="0" borderId="123" xfId="0" applyFont="1" applyBorder="1" applyAlignment="1">
      <alignment horizontal="center" vertical="center" wrapText="1"/>
    </xf>
    <xf numFmtId="205" fontId="88" fillId="0" borderId="124" xfId="0" applyNumberFormat="1" applyFont="1" applyBorder="1" applyAlignment="1">
      <alignment horizontal="center" vertical="center" wrapText="1"/>
    </xf>
    <xf numFmtId="0" fontId="88" fillId="0" borderId="124" xfId="0" applyFont="1" applyBorder="1" applyAlignment="1">
      <alignment horizontal="center" vertical="center" wrapText="1"/>
    </xf>
    <xf numFmtId="41" fontId="92" fillId="0" borderId="0" xfId="22" applyFont="1" applyAlignment="1">
      <alignment horizontal="center" vertical="center"/>
    </xf>
    <xf numFmtId="41" fontId="93" fillId="0" borderId="0" xfId="22" applyFont="1" applyAlignment="1">
      <alignment horizontal="center" vertical="center"/>
    </xf>
    <xf numFmtId="41" fontId="94" fillId="0" borderId="0" xfId="22" applyFont="1" applyAlignment="1">
      <alignment horizontal="left" vertical="center"/>
    </xf>
    <xf numFmtId="41" fontId="94" fillId="0" borderId="0" xfId="22" applyFont="1" applyAlignment="1">
      <alignment horizontal="center" vertical="center"/>
    </xf>
    <xf numFmtId="199" fontId="94" fillId="0" borderId="0" xfId="22" applyNumberFormat="1" applyFont="1" applyAlignment="1">
      <alignment horizontal="center" vertical="center"/>
    </xf>
    <xf numFmtId="185" fontId="94" fillId="0" borderId="0" xfId="22" applyNumberFormat="1" applyFont="1" applyAlignment="1">
      <alignment horizontal="center" vertical="center"/>
    </xf>
    <xf numFmtId="41" fontId="94" fillId="0" borderId="0" xfId="22" quotePrefix="1" applyFont="1" applyAlignment="1">
      <alignment horizontal="center" vertical="center"/>
    </xf>
    <xf numFmtId="188" fontId="94" fillId="0" borderId="0" xfId="22" applyNumberFormat="1" applyFont="1" applyAlignment="1">
      <alignment horizontal="center" vertical="center"/>
    </xf>
    <xf numFmtId="49" fontId="94" fillId="0" borderId="0" xfId="22" applyNumberFormat="1" applyFont="1" applyAlignment="1">
      <alignment vertical="center"/>
    </xf>
    <xf numFmtId="200" fontId="94" fillId="0" borderId="0" xfId="22" applyNumberFormat="1" applyFont="1" applyAlignment="1">
      <alignment vertical="center"/>
    </xf>
    <xf numFmtId="49" fontId="94" fillId="0" borderId="0" xfId="22" applyNumberFormat="1" applyFont="1" applyAlignment="1">
      <alignment horizontal="center" vertical="center"/>
    </xf>
    <xf numFmtId="201" fontId="94" fillId="0" borderId="0" xfId="22" applyNumberFormat="1" applyFont="1" applyAlignment="1">
      <alignment vertical="center"/>
    </xf>
    <xf numFmtId="41" fontId="94" fillId="0" borderId="0" xfId="22" applyFont="1" applyAlignment="1">
      <alignment vertical="center"/>
    </xf>
    <xf numFmtId="202" fontId="94" fillId="0" borderId="0" xfId="22" applyNumberFormat="1" applyFont="1" applyAlignment="1">
      <alignment horizontal="center" vertical="center"/>
    </xf>
    <xf numFmtId="201" fontId="94" fillId="0" borderId="0" xfId="22" applyNumberFormat="1" applyFont="1" applyAlignment="1">
      <alignment horizontal="center" vertical="center"/>
    </xf>
    <xf numFmtId="201" fontId="94" fillId="0" borderId="0" xfId="22" applyNumberFormat="1" applyFont="1" applyBorder="1" applyAlignment="1">
      <alignment horizontal="center" vertical="center"/>
    </xf>
    <xf numFmtId="200" fontId="94" fillId="0" borderId="0" xfId="22" applyNumberFormat="1" applyFont="1" applyAlignment="1">
      <alignment horizontal="center" vertical="center"/>
    </xf>
    <xf numFmtId="185" fontId="94" fillId="0" borderId="0" xfId="22" applyNumberFormat="1" applyFont="1" applyAlignment="1">
      <alignment vertical="center"/>
    </xf>
    <xf numFmtId="176" fontId="94" fillId="0" borderId="0" xfId="22" applyNumberFormat="1" applyFont="1" applyAlignment="1">
      <alignment horizontal="center" vertical="center"/>
    </xf>
    <xf numFmtId="178" fontId="94" fillId="0" borderId="0" xfId="22" quotePrefix="1" applyNumberFormat="1" applyFont="1" applyAlignment="1">
      <alignment horizontal="center" vertical="center"/>
    </xf>
    <xf numFmtId="0" fontId="97" fillId="0" borderId="0" xfId="23" quotePrefix="1" applyFont="1" applyAlignment="1">
      <alignment vertical="center"/>
    </xf>
    <xf numFmtId="177" fontId="94" fillId="0" borderId="0" xfId="22" applyNumberFormat="1" applyFont="1" applyAlignment="1">
      <alignment horizontal="center" vertical="center"/>
    </xf>
    <xf numFmtId="200" fontId="94" fillId="0" borderId="0" xfId="22" quotePrefix="1" applyNumberFormat="1" applyFont="1" applyBorder="1" applyAlignment="1">
      <alignment horizontal="center" vertical="center"/>
    </xf>
    <xf numFmtId="200" fontId="94" fillId="0" borderId="0" xfId="22" applyNumberFormat="1" applyFont="1" applyBorder="1" applyAlignment="1">
      <alignment horizontal="center" vertical="center"/>
    </xf>
    <xf numFmtId="41" fontId="98" fillId="0" borderId="0" xfId="22" applyFont="1" applyAlignment="1">
      <alignment horizontal="center" vertical="center"/>
    </xf>
    <xf numFmtId="41" fontId="99" fillId="0" borderId="0" xfId="22" applyFont="1" applyAlignment="1">
      <alignment horizontal="left" vertical="center"/>
    </xf>
    <xf numFmtId="41" fontId="99" fillId="0" borderId="0" xfId="22" applyFont="1" applyAlignment="1">
      <alignment horizontal="center" vertical="center"/>
    </xf>
    <xf numFmtId="41" fontId="99" fillId="0" borderId="0" xfId="22" quotePrefix="1" applyFont="1" applyAlignment="1">
      <alignment horizontal="center" vertical="center"/>
    </xf>
    <xf numFmtId="41" fontId="94" fillId="0" borderId="0" xfId="22" quotePrefix="1" applyFont="1" applyAlignment="1">
      <alignment horizontal="left" vertical="center"/>
    </xf>
    <xf numFmtId="41" fontId="99" fillId="0" borderId="0" xfId="22" quotePrefix="1" applyFont="1" applyAlignment="1">
      <alignment horizontal="left" vertical="center"/>
    </xf>
    <xf numFmtId="41" fontId="100" fillId="0" borderId="0" xfId="22" applyFont="1" applyAlignment="1">
      <alignment horizontal="center" vertical="center"/>
    </xf>
    <xf numFmtId="41" fontId="92" fillId="0" borderId="125" xfId="22" applyFont="1" applyBorder="1" applyAlignment="1">
      <alignment horizontal="left" vertical="center"/>
    </xf>
    <xf numFmtId="0" fontId="92" fillId="0" borderId="125" xfId="22" applyNumberFormat="1" applyFont="1" applyBorder="1" applyAlignment="1">
      <alignment horizontal="center" vertical="center"/>
    </xf>
    <xf numFmtId="41" fontId="92" fillId="0" borderId="125" xfId="22" applyFont="1" applyBorder="1" applyAlignment="1">
      <alignment horizontal="center" vertical="center"/>
    </xf>
    <xf numFmtId="41" fontId="92" fillId="0" borderId="125" xfId="22" applyNumberFormat="1" applyFont="1" applyBorder="1" applyAlignment="1">
      <alignment horizontal="center" vertical="center"/>
    </xf>
    <xf numFmtId="0" fontId="30" fillId="2" borderId="0" xfId="9" applyFont="1" applyFill="1" applyBorder="1" applyAlignment="1">
      <alignment vertical="center"/>
    </xf>
    <xf numFmtId="0" fontId="14" fillId="0" borderId="0" xfId="7" applyFont="1" applyBorder="1" applyAlignment="1">
      <alignment horizontal="center" vertical="center" wrapText="1"/>
    </xf>
    <xf numFmtId="41" fontId="14" fillId="2" borderId="0" xfId="5" applyFont="1" applyFill="1" applyBorder="1" applyAlignment="1">
      <alignment horizontal="left" vertical="center"/>
    </xf>
    <xf numFmtId="186" fontId="14" fillId="2" borderId="0" xfId="7" applyNumberFormat="1" applyFont="1" applyFill="1" applyBorder="1" applyAlignment="1">
      <alignment horizontal="center" vertical="center"/>
    </xf>
    <xf numFmtId="0" fontId="14" fillId="2" borderId="0" xfId="9" applyFont="1" applyFill="1" applyBorder="1" applyAlignment="1">
      <alignment vertical="center"/>
    </xf>
    <xf numFmtId="0" fontId="14" fillId="2" borderId="0" xfId="9" applyFont="1" applyFill="1" applyBorder="1" applyAlignment="1">
      <alignment horizontal="right" vertical="center"/>
    </xf>
    <xf numFmtId="183" fontId="14" fillId="2" borderId="0" xfId="9" applyNumberFormat="1" applyFont="1" applyFill="1" applyBorder="1" applyAlignment="1">
      <alignment horizontal="center" vertical="center"/>
    </xf>
    <xf numFmtId="188" fontId="10" fillId="0" borderId="0" xfId="0" applyNumberFormat="1" applyFont="1" applyAlignment="1"/>
    <xf numFmtId="188" fontId="14" fillId="2" borderId="0" xfId="9" applyNumberFormat="1" applyFont="1" applyFill="1" applyBorder="1" applyAlignment="1">
      <alignment vertical="center"/>
    </xf>
    <xf numFmtId="188" fontId="14" fillId="2" borderId="0" xfId="9" applyNumberFormat="1" applyFont="1" applyFill="1" applyBorder="1" applyAlignment="1">
      <alignment horizontal="right" vertical="center"/>
    </xf>
    <xf numFmtId="41" fontId="9" fillId="2" borderId="119" xfId="1" applyFont="1" applyFill="1" applyBorder="1" applyAlignment="1">
      <alignment horizontal="center" vertical="center"/>
    </xf>
    <xf numFmtId="0" fontId="10" fillId="0" borderId="59" xfId="0" applyFont="1" applyBorder="1" applyAlignment="1"/>
    <xf numFmtId="0" fontId="10" fillId="0" borderId="60" xfId="0" applyFont="1" applyBorder="1" applyAlignment="1"/>
    <xf numFmtId="0" fontId="10" fillId="0" borderId="10" xfId="0" applyFont="1" applyBorder="1" applyAlignment="1"/>
    <xf numFmtId="0" fontId="16" fillId="0" borderId="0" xfId="0" applyFont="1" applyBorder="1">
      <alignment vertical="center"/>
    </xf>
    <xf numFmtId="0" fontId="16" fillId="0" borderId="0" xfId="0" applyFont="1" applyBorder="1" applyAlignment="1"/>
    <xf numFmtId="0" fontId="10" fillId="0" borderId="0" xfId="0" applyFont="1" applyBorder="1" applyAlignment="1"/>
    <xf numFmtId="0" fontId="10" fillId="0" borderId="11" xfId="0" applyFont="1" applyBorder="1" applyAlignment="1"/>
    <xf numFmtId="0" fontId="30" fillId="2" borderId="126" xfId="9" applyFont="1" applyFill="1" applyBorder="1" applyAlignment="1">
      <alignment vertical="center"/>
    </xf>
    <xf numFmtId="0" fontId="30" fillId="2" borderId="127" xfId="9" applyFont="1" applyFill="1" applyBorder="1" applyAlignment="1">
      <alignment vertical="center"/>
    </xf>
    <xf numFmtId="0" fontId="14" fillId="2" borderId="10" xfId="7" applyFont="1" applyFill="1" applyBorder="1" applyAlignment="1">
      <alignment horizontal="center" vertical="center"/>
    </xf>
    <xf numFmtId="0" fontId="31" fillId="0" borderId="129" xfId="7" applyFont="1" applyBorder="1" applyAlignment="1">
      <alignment horizontal="center" vertical="center"/>
    </xf>
    <xf numFmtId="0" fontId="14" fillId="0" borderId="11" xfId="7" applyFont="1" applyBorder="1" applyAlignment="1">
      <alignment horizontal="center" vertical="center" wrapText="1"/>
    </xf>
    <xf numFmtId="41" fontId="14" fillId="2" borderId="11" xfId="5" applyFont="1" applyFill="1" applyBorder="1" applyAlignment="1">
      <alignment horizontal="left" vertical="center"/>
    </xf>
    <xf numFmtId="0" fontId="30" fillId="2" borderId="0" xfId="7" applyFont="1" applyFill="1" applyBorder="1" applyAlignment="1">
      <alignment horizontal="left" vertical="center"/>
    </xf>
    <xf numFmtId="0" fontId="14" fillId="2" borderId="0" xfId="7" applyFont="1" applyFill="1" applyBorder="1" applyAlignment="1">
      <alignment horizontal="center" vertical="center"/>
    </xf>
    <xf numFmtId="184" fontId="14" fillId="2" borderId="0" xfId="7" applyNumberFormat="1" applyFont="1" applyFill="1" applyBorder="1" applyAlignment="1">
      <alignment horizontal="center" vertical="center"/>
    </xf>
    <xf numFmtId="186" fontId="14" fillId="2" borderId="11" xfId="7" applyNumberFormat="1" applyFont="1" applyFill="1" applyBorder="1" applyAlignment="1">
      <alignment horizontal="center" vertical="center"/>
    </xf>
    <xf numFmtId="0" fontId="30" fillId="2" borderId="10" xfId="9" applyFont="1" applyFill="1" applyBorder="1" applyAlignment="1">
      <alignment vertical="center"/>
    </xf>
    <xf numFmtId="0" fontId="30" fillId="2" borderId="0" xfId="9" applyFont="1" applyFill="1" applyBorder="1" applyAlignment="1">
      <alignment horizontal="left" vertical="center"/>
    </xf>
    <xf numFmtId="0" fontId="30" fillId="2" borderId="0" xfId="9" applyFont="1" applyFill="1" applyBorder="1" applyAlignment="1">
      <alignment horizontal="right" vertical="center"/>
    </xf>
    <xf numFmtId="0" fontId="30" fillId="2" borderId="0" xfId="9" applyFont="1" applyFill="1" applyBorder="1" applyAlignment="1">
      <alignment horizontal="center" vertical="center"/>
    </xf>
    <xf numFmtId="41" fontId="30" fillId="2" borderId="0" xfId="5" applyFont="1" applyFill="1" applyBorder="1" applyAlignment="1">
      <alignment horizontal="center" vertical="center"/>
    </xf>
    <xf numFmtId="3" fontId="30" fillId="2" borderId="0" xfId="9" applyNumberFormat="1" applyFont="1" applyFill="1" applyBorder="1" applyAlignment="1">
      <alignment horizontal="right" vertical="center"/>
    </xf>
    <xf numFmtId="0" fontId="30" fillId="2" borderId="11" xfId="9" applyFont="1" applyFill="1" applyBorder="1" applyAlignment="1">
      <alignment vertical="center"/>
    </xf>
    <xf numFmtId="0" fontId="14" fillId="2" borderId="10" xfId="9" applyFont="1" applyFill="1" applyBorder="1" applyAlignment="1">
      <alignment vertical="center"/>
    </xf>
    <xf numFmtId="0" fontId="14" fillId="2" borderId="0" xfId="9" applyFont="1" applyFill="1" applyBorder="1" applyAlignment="1">
      <alignment horizontal="left" vertical="center"/>
    </xf>
    <xf numFmtId="0" fontId="14" fillId="2" borderId="0" xfId="9" applyFont="1" applyFill="1" applyBorder="1" applyAlignment="1">
      <alignment horizontal="center" vertical="center"/>
    </xf>
    <xf numFmtId="41" fontId="14" fillId="2" borderId="0" xfId="5" applyFont="1" applyFill="1" applyBorder="1" applyAlignment="1">
      <alignment horizontal="center" vertical="center"/>
    </xf>
    <xf numFmtId="3" fontId="14" fillId="2" borderId="0" xfId="9" applyNumberFormat="1" applyFont="1" applyFill="1" applyBorder="1" applyAlignment="1">
      <alignment horizontal="right" vertical="center"/>
    </xf>
    <xf numFmtId="0" fontId="14" fillId="2" borderId="11" xfId="9" applyFont="1" applyFill="1" applyBorder="1" applyAlignment="1">
      <alignment vertical="center"/>
    </xf>
    <xf numFmtId="0" fontId="14" fillId="2" borderId="12" xfId="9" applyFont="1" applyFill="1" applyBorder="1" applyAlignment="1">
      <alignment vertical="center"/>
    </xf>
    <xf numFmtId="0" fontId="14" fillId="2" borderId="13" xfId="9" applyFont="1" applyFill="1" applyBorder="1" applyAlignment="1">
      <alignment vertical="center"/>
    </xf>
    <xf numFmtId="0" fontId="14" fillId="2" borderId="13" xfId="9" applyFont="1" applyFill="1" applyBorder="1" applyAlignment="1">
      <alignment horizontal="left" vertical="center"/>
    </xf>
    <xf numFmtId="0" fontId="14" fillId="2" borderId="13" xfId="9" applyFont="1" applyFill="1" applyBorder="1" applyAlignment="1">
      <alignment horizontal="center" vertical="center"/>
    </xf>
    <xf numFmtId="41" fontId="14" fillId="2" borderId="13" xfId="5" applyFont="1" applyFill="1" applyBorder="1" applyAlignment="1">
      <alignment horizontal="center" vertical="center"/>
    </xf>
    <xf numFmtId="0" fontId="14" fillId="2" borderId="14" xfId="9" applyFont="1" applyFill="1" applyBorder="1" applyAlignment="1">
      <alignment vertical="center"/>
    </xf>
    <xf numFmtId="3" fontId="14" fillId="2" borderId="0" xfId="9" applyNumberFormat="1" applyFont="1" applyFill="1" applyBorder="1" applyAlignment="1">
      <alignment vertical="center"/>
    </xf>
    <xf numFmtId="41" fontId="14" fillId="2" borderId="0" xfId="5" applyFont="1" applyFill="1" applyBorder="1" applyAlignment="1">
      <alignment horizontal="right" vertical="center"/>
    </xf>
    <xf numFmtId="0" fontId="14" fillId="2" borderId="11" xfId="9" applyFont="1" applyFill="1" applyBorder="1" applyAlignment="1">
      <alignment horizontal="right" vertical="center"/>
    </xf>
    <xf numFmtId="185" fontId="14" fillId="2" borderId="0" xfId="5" applyNumberFormat="1" applyFont="1" applyFill="1" applyBorder="1" applyAlignment="1">
      <alignment horizontal="right" vertical="center"/>
    </xf>
    <xf numFmtId="2" fontId="14" fillId="2" borderId="0" xfId="9" applyNumberFormat="1" applyFont="1" applyFill="1" applyBorder="1" applyAlignment="1">
      <alignment horizontal="center" vertical="center"/>
    </xf>
    <xf numFmtId="0" fontId="14" fillId="2" borderId="0" xfId="9" quotePrefix="1" applyFont="1" applyFill="1" applyBorder="1" applyAlignment="1">
      <alignment horizontal="center" vertical="center"/>
    </xf>
    <xf numFmtId="3" fontId="14" fillId="2" borderId="0" xfId="9" applyNumberFormat="1" applyFont="1" applyFill="1" applyBorder="1" applyAlignment="1">
      <alignment horizontal="center" vertical="center"/>
    </xf>
    <xf numFmtId="183" fontId="14" fillId="2" borderId="11" xfId="9" applyNumberFormat="1" applyFont="1" applyFill="1" applyBorder="1" applyAlignment="1">
      <alignment horizontal="center" vertical="center"/>
    </xf>
    <xf numFmtId="0" fontId="14" fillId="3" borderId="0" xfId="9" applyFont="1" applyFill="1" applyBorder="1" applyAlignment="1">
      <alignment horizontal="left" vertical="center"/>
    </xf>
    <xf numFmtId="183" fontId="14" fillId="2" borderId="13" xfId="9" applyNumberFormat="1" applyFont="1" applyFill="1" applyBorder="1" applyAlignment="1">
      <alignment horizontal="center" vertical="center"/>
    </xf>
    <xf numFmtId="41" fontId="14" fillId="2" borderId="13" xfId="5" applyFont="1" applyFill="1" applyBorder="1" applyAlignment="1">
      <alignment horizontal="center" vertical="center" shrinkToFit="1"/>
    </xf>
    <xf numFmtId="3" fontId="14" fillId="2" borderId="0" xfId="9" applyNumberFormat="1" applyFont="1" applyFill="1" applyBorder="1" applyAlignment="1">
      <alignment horizontal="left" vertical="center"/>
    </xf>
    <xf numFmtId="205" fontId="88" fillId="0" borderId="124" xfId="0" applyNumberFormat="1" applyFont="1" applyFill="1" applyBorder="1" applyAlignment="1">
      <alignment horizontal="center" vertical="center" wrapText="1"/>
    </xf>
    <xf numFmtId="0" fontId="49" fillId="0" borderId="47" xfId="19" applyFont="1" applyFill="1" applyBorder="1" applyAlignment="1">
      <alignment vertical="center" wrapText="1"/>
    </xf>
    <xf numFmtId="0" fontId="101" fillId="11" borderId="0" xfId="9" applyFont="1" applyFill="1" applyAlignment="1">
      <alignment vertical="center"/>
    </xf>
    <xf numFmtId="0" fontId="102" fillId="6" borderId="25" xfId="0" applyFont="1" applyFill="1" applyBorder="1" applyAlignment="1">
      <alignment horizontal="center" vertical="center" wrapText="1"/>
    </xf>
    <xf numFmtId="0" fontId="103" fillId="11" borderId="0" xfId="7" applyFont="1" applyFill="1" applyAlignment="1">
      <alignment horizontal="center" vertical="center"/>
    </xf>
    <xf numFmtId="0" fontId="104" fillId="11" borderId="0" xfId="9" applyFont="1" applyFill="1" applyAlignment="1">
      <alignment vertical="center"/>
    </xf>
    <xf numFmtId="0" fontId="103" fillId="11" borderId="0" xfId="9" applyFont="1" applyFill="1" applyAlignment="1">
      <alignment vertical="center"/>
    </xf>
    <xf numFmtId="41" fontId="92" fillId="0" borderId="0" xfId="22" quotePrefix="1" applyFont="1" applyAlignment="1">
      <alignment horizontal="center" vertical="center"/>
    </xf>
    <xf numFmtId="41" fontId="92" fillId="0" borderId="0" xfId="22" quotePrefix="1" applyFont="1" applyAlignment="1">
      <alignment horizontal="left" vertical="center"/>
    </xf>
    <xf numFmtId="0" fontId="49" fillId="2" borderId="131" xfId="19" applyFont="1" applyFill="1" applyBorder="1" applyAlignment="1">
      <alignment vertical="center" wrapText="1"/>
    </xf>
    <xf numFmtId="0" fontId="49" fillId="8" borderId="125" xfId="17" applyFont="1" applyFill="1" applyBorder="1" applyAlignment="1">
      <alignment horizontal="center" vertical="center"/>
    </xf>
    <xf numFmtId="0" fontId="102" fillId="6" borderId="29" xfId="0" applyFont="1" applyFill="1" applyBorder="1" applyAlignment="1">
      <alignment horizontal="center" vertical="center" wrapText="1"/>
    </xf>
    <xf numFmtId="206" fontId="92" fillId="0" borderId="125" xfId="22" applyNumberFormat="1" applyFont="1" applyBorder="1" applyAlignment="1">
      <alignment horizontal="center" vertical="center"/>
    </xf>
    <xf numFmtId="0" fontId="49" fillId="8" borderId="125" xfId="18" applyFont="1" applyFill="1" applyBorder="1" applyAlignment="1">
      <alignment vertical="center"/>
    </xf>
    <xf numFmtId="0" fontId="49" fillId="8" borderId="125" xfId="17" applyFont="1" applyFill="1" applyBorder="1" applyAlignment="1">
      <alignment vertical="center"/>
    </xf>
    <xf numFmtId="0" fontId="49" fillId="8" borderId="125" xfId="17" applyFont="1" applyFill="1" applyBorder="1" applyAlignment="1">
      <alignment vertical="center" wrapText="1"/>
    </xf>
    <xf numFmtId="41" fontId="92" fillId="0" borderId="125" xfId="22" quotePrefix="1" applyFont="1" applyBorder="1" applyAlignment="1">
      <alignment horizontal="center" vertical="center"/>
    </xf>
    <xf numFmtId="41" fontId="94" fillId="0" borderId="133" xfId="22" applyFont="1" applyBorder="1" applyAlignment="1">
      <alignment horizontal="center" vertical="center"/>
    </xf>
    <xf numFmtId="41" fontId="94" fillId="0" borderId="134" xfId="22" applyFont="1" applyBorder="1" applyAlignment="1">
      <alignment horizontal="center" vertical="center"/>
    </xf>
    <xf numFmtId="41" fontId="94" fillId="10" borderId="136" xfId="22" applyFont="1" applyFill="1" applyBorder="1" applyAlignment="1">
      <alignment horizontal="center" vertical="center"/>
    </xf>
    <xf numFmtId="201" fontId="94" fillId="10" borderId="136" xfId="22" applyNumberFormat="1" applyFont="1" applyFill="1" applyBorder="1" applyAlignment="1">
      <alignment horizontal="center" vertical="center"/>
    </xf>
    <xf numFmtId="41" fontId="94" fillId="10" borderId="137" xfId="22" applyFont="1" applyFill="1" applyBorder="1" applyAlignment="1">
      <alignment horizontal="center" vertical="center"/>
    </xf>
    <xf numFmtId="200" fontId="94" fillId="0" borderId="0" xfId="22" applyNumberFormat="1" applyFont="1" applyAlignment="1">
      <alignment horizontal="left" vertical="center"/>
    </xf>
    <xf numFmtId="178" fontId="39" fillId="0" borderId="0" xfId="16" applyNumberFormat="1" applyFont="1" applyAlignment="1">
      <alignment vertical="center"/>
    </xf>
    <xf numFmtId="0" fontId="8" fillId="2" borderId="0" xfId="7" quotePrefix="1" applyFont="1" applyFill="1" applyAlignment="1">
      <alignment vertical="center" wrapText="1"/>
    </xf>
    <xf numFmtId="0" fontId="8" fillId="2" borderId="0" xfId="7" applyFont="1" applyFill="1" applyAlignment="1">
      <alignment vertical="center" wrapText="1"/>
    </xf>
    <xf numFmtId="0" fontId="36" fillId="0" borderId="0" xfId="10" applyFont="1" applyAlignment="1">
      <alignment horizontal="center" vertical="center"/>
    </xf>
    <xf numFmtId="197" fontId="24" fillId="0" borderId="0" xfId="10" applyNumberFormat="1" applyFont="1" applyAlignment="1">
      <alignment horizontal="center" vertical="center"/>
    </xf>
    <xf numFmtId="0" fontId="65" fillId="0" borderId="10" xfId="10" applyFont="1" applyBorder="1" applyAlignment="1" applyProtection="1">
      <alignment horizontal="center" vertical="justify" shrinkToFit="1"/>
      <protection locked="0"/>
    </xf>
    <xf numFmtId="0" fontId="65" fillId="0" borderId="0" xfId="10" applyFont="1" applyAlignment="1" applyProtection="1">
      <alignment horizontal="center" vertical="justify" shrinkToFit="1"/>
      <protection locked="0"/>
    </xf>
    <xf numFmtId="0" fontId="65" fillId="0" borderId="11" xfId="10" applyFont="1" applyBorder="1" applyAlignment="1" applyProtection="1">
      <alignment horizontal="center" vertical="justify" shrinkToFit="1"/>
      <protection locked="0"/>
    </xf>
    <xf numFmtId="0" fontId="65" fillId="0" borderId="10" xfId="10" applyFont="1" applyBorder="1" applyAlignment="1">
      <alignment horizontal="center" vertical="center"/>
    </xf>
    <xf numFmtId="0" fontId="65" fillId="0" borderId="0" xfId="10" applyFont="1" applyAlignment="1">
      <alignment horizontal="center" vertical="center"/>
    </xf>
    <xf numFmtId="0" fontId="65" fillId="0" borderId="11" xfId="10" applyFont="1" applyBorder="1" applyAlignment="1">
      <alignment horizontal="center" vertical="center"/>
    </xf>
    <xf numFmtId="0" fontId="8" fillId="0" borderId="59" xfId="10" applyFont="1" applyBorder="1" applyAlignment="1">
      <alignment horizontal="center" vertical="center" textRotation="255"/>
    </xf>
    <xf numFmtId="0" fontId="8" fillId="0" borderId="0" xfId="10" applyFont="1" applyAlignment="1">
      <alignment horizontal="center" vertical="center" textRotation="255"/>
    </xf>
    <xf numFmtId="0" fontId="8" fillId="0" borderId="59" xfId="10" applyFont="1" applyBorder="1" applyAlignment="1">
      <alignment horizontal="center" vertical="center" wrapText="1"/>
    </xf>
    <xf numFmtId="0" fontId="8" fillId="0" borderId="60" xfId="10" applyFont="1" applyBorder="1" applyAlignment="1">
      <alignment horizontal="center" vertical="center" wrapText="1"/>
    </xf>
    <xf numFmtId="0" fontId="8" fillId="0" borderId="0" xfId="10" applyFont="1" applyAlignment="1">
      <alignment horizontal="center" vertical="center" wrapText="1"/>
    </xf>
    <xf numFmtId="0" fontId="8" fillId="0" borderId="11" xfId="10" applyFont="1" applyBorder="1" applyAlignment="1">
      <alignment horizontal="center" vertical="center" wrapText="1"/>
    </xf>
    <xf numFmtId="0" fontId="66" fillId="0" borderId="0" xfId="10" applyFont="1" applyAlignment="1">
      <alignment horizontal="left" vertical="center"/>
    </xf>
    <xf numFmtId="0" fontId="8" fillId="0" borderId="61" xfId="10" applyFont="1" applyBorder="1" applyAlignment="1">
      <alignment horizontal="center" vertical="center" readingOrder="1"/>
    </xf>
    <xf numFmtId="0" fontId="8" fillId="0" borderId="59" xfId="10" applyFont="1" applyBorder="1" applyAlignment="1">
      <alignment horizontal="center" vertical="center" readingOrder="1"/>
    </xf>
    <xf numFmtId="0" fontId="8" fillId="0" borderId="10" xfId="10" applyFont="1" applyBorder="1" applyAlignment="1">
      <alignment horizontal="center" vertical="center" readingOrder="1"/>
    </xf>
    <xf numFmtId="0" fontId="8" fillId="0" borderId="0" xfId="10" applyFont="1" applyAlignment="1">
      <alignment horizontal="center" vertical="center" readingOrder="1"/>
    </xf>
    <xf numFmtId="0" fontId="65" fillId="0" borderId="10" xfId="10" applyFont="1" applyBorder="1" applyAlignment="1">
      <alignment horizontal="center" vertical="justify" shrinkToFit="1"/>
    </xf>
    <xf numFmtId="0" fontId="65" fillId="0" borderId="0" xfId="10" applyFont="1" applyAlignment="1">
      <alignment horizontal="center" vertical="justify" shrinkToFit="1"/>
    </xf>
    <xf numFmtId="0" fontId="65" fillId="0" borderId="11" xfId="10" applyFont="1" applyBorder="1" applyAlignment="1">
      <alignment horizontal="center" vertical="justify" shrinkToFit="1"/>
    </xf>
    <xf numFmtId="198" fontId="8" fillId="0" borderId="61" xfId="10" applyNumberFormat="1" applyFont="1" applyBorder="1" applyAlignment="1">
      <alignment horizontal="center" vertical="center" readingOrder="1"/>
    </xf>
    <xf numFmtId="198" fontId="8" fillId="0" borderId="59" xfId="10" applyNumberFormat="1" applyFont="1" applyBorder="1" applyAlignment="1">
      <alignment horizontal="center" vertical="center" readingOrder="1"/>
    </xf>
    <xf numFmtId="198" fontId="8" fillId="0" borderId="62" xfId="10" applyNumberFormat="1" applyFont="1" applyBorder="1" applyAlignment="1">
      <alignment horizontal="center" vertical="center" readingOrder="1"/>
    </xf>
    <xf numFmtId="198" fontId="8" fillId="0" borderId="63" xfId="10" applyNumberFormat="1" applyFont="1" applyBorder="1" applyAlignment="1">
      <alignment horizontal="center" vertical="center" readingOrder="1"/>
    </xf>
    <xf numFmtId="198" fontId="8" fillId="0" borderId="8" xfId="10" applyNumberFormat="1" applyFont="1" applyBorder="1" applyAlignment="1">
      <alignment horizontal="center" vertical="center" readingOrder="1"/>
    </xf>
    <xf numFmtId="198" fontId="8" fillId="0" borderId="9" xfId="10" applyNumberFormat="1" applyFont="1" applyBorder="1" applyAlignment="1">
      <alignment horizontal="center" vertical="center" readingOrder="1"/>
    </xf>
    <xf numFmtId="0" fontId="8" fillId="0" borderId="64" xfId="10" applyFont="1" applyBorder="1" applyAlignment="1">
      <alignment horizontal="center" vertical="center" textRotation="255"/>
    </xf>
    <xf numFmtId="0" fontId="8" fillId="0" borderId="65" xfId="10" applyFont="1" applyBorder="1" applyAlignment="1">
      <alignment horizontal="center" vertical="center" textRotation="255"/>
    </xf>
    <xf numFmtId="0" fontId="8" fillId="0" borderId="69" xfId="10" applyFont="1" applyBorder="1" applyAlignment="1">
      <alignment horizontal="center" vertical="center" wrapText="1"/>
    </xf>
    <xf numFmtId="0" fontId="8" fillId="0" borderId="7" xfId="10" applyFont="1" applyBorder="1" applyAlignment="1">
      <alignment horizontal="center" vertical="center" wrapText="1"/>
    </xf>
    <xf numFmtId="0" fontId="8" fillId="0" borderId="8" xfId="10" applyFont="1" applyBorder="1" applyAlignment="1">
      <alignment horizontal="center" vertical="center" wrapText="1"/>
    </xf>
    <xf numFmtId="0" fontId="8" fillId="0" borderId="74" xfId="10" applyFont="1" applyBorder="1" applyAlignment="1">
      <alignment horizontal="center" vertical="center" wrapText="1"/>
    </xf>
    <xf numFmtId="0" fontId="37" fillId="0" borderId="0" xfId="10" applyFont="1" applyAlignment="1">
      <alignment horizontal="right" vertical="center"/>
    </xf>
    <xf numFmtId="195" fontId="38" fillId="0" borderId="0" xfId="10" applyNumberFormat="1" applyFont="1" applyAlignment="1">
      <alignment horizontal="center" vertical="center"/>
    </xf>
    <xf numFmtId="180" fontId="38" fillId="0" borderId="0" xfId="10" applyNumberFormat="1" applyFont="1" applyAlignment="1">
      <alignment horizontal="center" vertical="center"/>
    </xf>
    <xf numFmtId="0" fontId="37" fillId="0" borderId="0" xfId="10" applyFont="1" applyAlignment="1">
      <alignment horizontal="center" vertical="center"/>
    </xf>
    <xf numFmtId="0" fontId="24" fillId="0" borderId="0" xfId="10" applyFont="1" applyAlignment="1">
      <alignment horizontal="left" vertical="center"/>
    </xf>
    <xf numFmtId="0" fontId="24" fillId="0" borderId="0" xfId="10" applyFont="1" applyAlignment="1">
      <alignment horizontal="center" vertical="center"/>
    </xf>
    <xf numFmtId="0" fontId="24" fillId="0" borderId="0" xfId="10" applyFont="1" applyAlignment="1">
      <alignment horizontal="left" vertical="center" shrinkToFit="1"/>
    </xf>
    <xf numFmtId="0" fontId="67" fillId="0" borderId="0" xfId="0" applyFont="1" applyAlignment="1">
      <alignment horizontal="left" vertical="center" shrinkToFit="1"/>
    </xf>
    <xf numFmtId="0" fontId="68" fillId="0" borderId="0" xfId="0" applyFont="1" applyAlignment="1">
      <alignment horizontal="left" vertical="center" shrinkToFit="1"/>
    </xf>
    <xf numFmtId="0" fontId="8" fillId="0" borderId="0" xfId="0" applyFont="1" applyAlignment="1">
      <alignment horizontal="left" vertical="center" shrinkToFit="1"/>
    </xf>
    <xf numFmtId="0" fontId="39" fillId="0" borderId="66" xfId="0" applyFont="1" applyBorder="1" applyAlignment="1">
      <alignment horizontal="center" vertical="center" wrapText="1"/>
    </xf>
    <xf numFmtId="0" fontId="39" fillId="0" borderId="67" xfId="0" applyFont="1" applyBorder="1" applyAlignment="1">
      <alignment horizontal="center" vertical="center" wrapText="1"/>
    </xf>
    <xf numFmtId="0" fontId="39" fillId="0" borderId="68" xfId="0" applyFont="1" applyBorder="1" applyAlignment="1">
      <alignment horizontal="center" vertical="center" wrapText="1"/>
    </xf>
    <xf numFmtId="0" fontId="39" fillId="0" borderId="70" xfId="0" applyFont="1" applyBorder="1" applyAlignment="1">
      <alignment horizontal="center" vertical="center" wrapText="1"/>
    </xf>
    <xf numFmtId="0" fontId="39" fillId="0" borderId="71" xfId="0" applyFont="1" applyBorder="1" applyAlignment="1">
      <alignment horizontal="center" vertical="center" wrapText="1"/>
    </xf>
    <xf numFmtId="0" fontId="39" fillId="0" borderId="72" xfId="0" applyFont="1" applyBorder="1" applyAlignment="1">
      <alignment horizontal="center" vertical="center" wrapText="1"/>
    </xf>
    <xf numFmtId="0" fontId="40" fillId="0" borderId="73" xfId="0" applyFont="1" applyBorder="1" applyAlignment="1">
      <alignment horizontal="center" vertical="center" wrapText="1"/>
    </xf>
    <xf numFmtId="0" fontId="40" fillId="0" borderId="26" xfId="0" applyFont="1" applyBorder="1" applyAlignment="1">
      <alignment horizontal="center" vertical="center" wrapText="1"/>
    </xf>
    <xf numFmtId="0" fontId="40" fillId="0" borderId="75" xfId="0" applyFont="1" applyBorder="1" applyAlignment="1">
      <alignment horizontal="center" vertical="center" wrapText="1"/>
    </xf>
    <xf numFmtId="0" fontId="40" fillId="0" borderId="76" xfId="0" applyFont="1" applyBorder="1" applyAlignment="1">
      <alignment horizontal="center" vertical="center" wrapText="1"/>
    </xf>
    <xf numFmtId="0" fontId="40" fillId="0" borderId="77" xfId="0" applyFont="1" applyBorder="1" applyAlignment="1">
      <alignment horizontal="center" vertical="center" wrapText="1"/>
    </xf>
    <xf numFmtId="0" fontId="40" fillId="0" borderId="78" xfId="0" applyFont="1" applyBorder="1" applyAlignment="1">
      <alignment horizontal="center" vertical="center" wrapText="1"/>
    </xf>
    <xf numFmtId="0" fontId="45" fillId="0" borderId="79" xfId="0" applyFont="1" applyBorder="1" applyAlignment="1">
      <alignment horizontal="center" vertical="center" wrapText="1"/>
    </xf>
    <xf numFmtId="0" fontId="45" fillId="0" borderId="26" xfId="0" applyFont="1" applyBorder="1" applyAlignment="1">
      <alignment horizontal="center" vertical="center" wrapText="1"/>
    </xf>
    <xf numFmtId="0" fontId="45" fillId="0" borderId="27" xfId="0" applyFont="1" applyBorder="1" applyAlignment="1">
      <alignment horizontal="center" vertical="center" wrapText="1"/>
    </xf>
    <xf numFmtId="0" fontId="34" fillId="0" borderId="80" xfId="0" applyFont="1" applyBorder="1" applyAlignment="1">
      <alignment horizontal="center" vertical="center" wrapText="1"/>
    </xf>
    <xf numFmtId="0" fontId="34" fillId="0" borderId="77" xfId="0" applyFont="1" applyBorder="1" applyAlignment="1">
      <alignment horizontal="center" vertical="center" wrapText="1"/>
    </xf>
    <xf numFmtId="0" fontId="34" fillId="0" borderId="81" xfId="0" applyFont="1" applyBorder="1" applyAlignment="1">
      <alignment horizontal="center" vertical="center" wrapText="1"/>
    </xf>
    <xf numFmtId="0" fontId="42" fillId="0" borderId="39" xfId="0" applyFont="1" applyBorder="1" applyAlignment="1">
      <alignment horizontal="center" vertical="center" wrapText="1"/>
    </xf>
    <xf numFmtId="0" fontId="42" fillId="0" borderId="33" xfId="0" applyFont="1" applyBorder="1" applyAlignment="1">
      <alignment horizontal="center" vertical="center" wrapText="1"/>
    </xf>
    <xf numFmtId="0" fontId="42" fillId="0" borderId="37" xfId="0" applyFont="1" applyBorder="1" applyAlignment="1">
      <alignment horizontal="center" vertical="center" wrapText="1"/>
    </xf>
    <xf numFmtId="0" fontId="45" fillId="0" borderId="24" xfId="0" applyFont="1" applyBorder="1" applyAlignment="1">
      <alignment horizontal="center" vertical="center" wrapText="1"/>
    </xf>
    <xf numFmtId="0" fontId="34" fillId="0" borderId="82" xfId="0" applyFont="1" applyBorder="1" applyAlignment="1">
      <alignment horizontal="center" vertical="center" wrapText="1"/>
    </xf>
    <xf numFmtId="0" fontId="69" fillId="0" borderId="0" xfId="0" applyFont="1" applyAlignment="1">
      <alignment horizontal="center" vertical="center"/>
    </xf>
    <xf numFmtId="0" fontId="48" fillId="0" borderId="0" xfId="0" applyFont="1" applyAlignment="1">
      <alignment horizontal="left" vertical="center"/>
    </xf>
    <xf numFmtId="0" fontId="47" fillId="0" borderId="0" xfId="0" quotePrefix="1" applyFont="1" applyAlignment="1">
      <alignment horizontal="left" vertical="center"/>
    </xf>
    <xf numFmtId="0" fontId="47" fillId="0" borderId="0" xfId="0" applyFont="1" applyAlignment="1">
      <alignment horizontal="center"/>
    </xf>
    <xf numFmtId="0" fontId="47" fillId="0" borderId="0" xfId="0" applyFont="1" applyAlignment="1" applyProtection="1">
      <alignment horizontal="left" vertical="center" wrapText="1"/>
      <protection locked="0"/>
    </xf>
    <xf numFmtId="0" fontId="47" fillId="0" borderId="0" xfId="0" applyFont="1" applyAlignment="1">
      <alignment horizontal="left" vertical="top" wrapText="1"/>
    </xf>
    <xf numFmtId="0" fontId="51" fillId="0" borderId="0" xfId="0" applyFont="1" applyAlignment="1">
      <alignment horizontal="center" vertical="center"/>
    </xf>
    <xf numFmtId="0" fontId="50" fillId="0" borderId="0" xfId="0" applyFont="1" applyAlignment="1">
      <alignment horizontal="left" vertical="center"/>
    </xf>
    <xf numFmtId="0" fontId="51" fillId="0" borderId="0" xfId="0" applyFont="1" applyAlignment="1">
      <alignment horizontal="left" vertical="center"/>
    </xf>
    <xf numFmtId="0" fontId="11" fillId="0" borderId="87" xfId="0" applyFont="1" applyBorder="1" applyAlignment="1">
      <alignment horizontal="center" vertical="center" wrapText="1"/>
    </xf>
    <xf numFmtId="0" fontId="11" fillId="0" borderId="88" xfId="0" applyFont="1" applyBorder="1" applyAlignment="1">
      <alignment horizontal="center" vertical="center" wrapText="1"/>
    </xf>
    <xf numFmtId="0" fontId="11" fillId="0" borderId="89" xfId="0" applyFont="1" applyBorder="1" applyAlignment="1">
      <alignment horizontal="center" vertical="center" wrapText="1"/>
    </xf>
    <xf numFmtId="0" fontId="11" fillId="0" borderId="52" xfId="0" applyFont="1" applyBorder="1" applyAlignment="1">
      <alignment horizontal="center" vertical="center" wrapText="1"/>
    </xf>
    <xf numFmtId="0" fontId="11" fillId="0" borderId="58" xfId="0" applyFont="1" applyBorder="1" applyAlignment="1">
      <alignment horizontal="justify" vertical="center" wrapText="1"/>
    </xf>
    <xf numFmtId="0" fontId="11" fillId="0" borderId="57" xfId="0" applyFont="1" applyBorder="1" applyAlignment="1">
      <alignment horizontal="justify" vertical="center" wrapText="1"/>
    </xf>
    <xf numFmtId="0" fontId="11" fillId="0" borderId="90" xfId="0" applyFont="1" applyBorder="1" applyAlignment="1">
      <alignment horizontal="center" vertical="center" wrapText="1"/>
    </xf>
    <xf numFmtId="0" fontId="11" fillId="0" borderId="56" xfId="0" applyFont="1" applyBorder="1" applyAlignment="1">
      <alignment horizontal="center" vertical="center" wrapText="1"/>
    </xf>
    <xf numFmtId="0" fontId="29" fillId="0" borderId="58" xfId="0" applyFont="1" applyBorder="1" applyAlignment="1">
      <alignment horizontal="justify" vertical="center" wrapText="1"/>
    </xf>
    <xf numFmtId="0" fontId="29" fillId="0" borderId="57" xfId="0" applyFont="1" applyBorder="1" applyAlignment="1">
      <alignment horizontal="justify" vertical="center" wrapText="1"/>
    </xf>
    <xf numFmtId="0" fontId="29" fillId="0" borderId="87" xfId="0" applyFont="1" applyBorder="1" applyAlignment="1">
      <alignment horizontal="center" vertical="center" wrapText="1"/>
    </xf>
    <xf numFmtId="0" fontId="29" fillId="0" borderId="88" xfId="0" applyFont="1" applyBorder="1" applyAlignment="1">
      <alignment horizontal="center" vertical="center" wrapText="1"/>
    </xf>
    <xf numFmtId="0" fontId="29" fillId="0" borderId="92" xfId="0" applyFont="1" applyBorder="1" applyAlignment="1">
      <alignment horizontal="center" vertical="center" wrapText="1"/>
    </xf>
    <xf numFmtId="0" fontId="29" fillId="0" borderId="55" xfId="0" applyFont="1" applyBorder="1" applyAlignment="1">
      <alignment horizontal="center" vertical="center" wrapText="1"/>
    </xf>
    <xf numFmtId="0" fontId="0" fillId="0" borderId="89" xfId="0" applyBorder="1" applyAlignment="1">
      <alignment vertical="center" wrapText="1"/>
    </xf>
    <xf numFmtId="0" fontId="0" fillId="0" borderId="52" xfId="0" applyBorder="1" applyAlignment="1">
      <alignment vertical="center" wrapText="1"/>
    </xf>
    <xf numFmtId="0" fontId="29" fillId="0" borderId="90" xfId="0" applyFont="1" applyBorder="1" applyAlignment="1">
      <alignment horizontal="justify" vertical="center" wrapText="1"/>
    </xf>
    <xf numFmtId="0" fontId="29" fillId="0" borderId="91" xfId="0" applyFont="1" applyBorder="1" applyAlignment="1">
      <alignment horizontal="justify" vertical="center" wrapText="1"/>
    </xf>
    <xf numFmtId="0" fontId="29" fillId="0" borderId="56" xfId="0" applyFont="1" applyBorder="1" applyAlignment="1">
      <alignment horizontal="justify" vertical="center" wrapText="1"/>
    </xf>
    <xf numFmtId="0" fontId="31" fillId="5" borderId="90" xfId="0" applyFont="1" applyFill="1" applyBorder="1" applyAlignment="1">
      <alignment horizontal="center" vertical="center" wrapText="1"/>
    </xf>
    <xf numFmtId="0" fontId="31" fillId="5" borderId="56" xfId="0" applyFont="1" applyFill="1" applyBorder="1" applyAlignment="1">
      <alignment horizontal="center" vertical="center" wrapText="1"/>
    </xf>
    <xf numFmtId="0" fontId="58" fillId="0" borderId="58" xfId="0" applyFont="1" applyBorder="1" applyAlignment="1">
      <alignment horizontal="justify" vertical="center" wrapText="1"/>
    </xf>
    <xf numFmtId="0" fontId="58" fillId="0" borderId="57" xfId="0" applyFont="1" applyBorder="1" applyAlignment="1">
      <alignment horizontal="justify" vertical="center" wrapText="1"/>
    </xf>
    <xf numFmtId="0" fontId="7" fillId="0" borderId="58" xfId="0" applyFont="1" applyBorder="1" applyAlignment="1">
      <alignment vertical="center" wrapText="1"/>
    </xf>
    <xf numFmtId="0" fontId="7" fillId="0" borderId="54" xfId="0" applyFont="1" applyBorder="1" applyAlignment="1">
      <alignment vertical="center" wrapText="1"/>
    </xf>
    <xf numFmtId="0" fontId="7" fillId="0" borderId="57" xfId="0" applyFont="1" applyBorder="1" applyAlignment="1">
      <alignment vertical="center" wrapText="1"/>
    </xf>
    <xf numFmtId="0" fontId="72" fillId="0" borderId="0" xfId="0" applyFont="1" applyAlignment="1">
      <alignment horizontal="center" vertical="center"/>
    </xf>
    <xf numFmtId="0" fontId="50" fillId="0" borderId="0" xfId="0" applyFont="1" applyAlignment="1">
      <alignment horizontal="left" vertical="top"/>
    </xf>
    <xf numFmtId="0" fontId="52" fillId="0" borderId="0" xfId="0" applyFont="1" applyAlignment="1">
      <alignment horizontal="left" vertical="center"/>
    </xf>
    <xf numFmtId="0" fontId="14" fillId="0" borderId="58" xfId="0" applyFont="1" applyBorder="1" applyAlignment="1">
      <alignment horizontal="justify" vertical="center" wrapText="1"/>
    </xf>
    <xf numFmtId="0" fontId="14" fillId="0" borderId="54" xfId="0" applyFont="1" applyBorder="1" applyAlignment="1">
      <alignment horizontal="justify" vertical="center" wrapText="1"/>
    </xf>
    <xf numFmtId="0" fontId="14" fillId="0" borderId="57" xfId="0" applyFont="1" applyBorder="1" applyAlignment="1">
      <alignment horizontal="justify" vertical="center" wrapText="1"/>
    </xf>
    <xf numFmtId="0" fontId="32" fillId="5" borderId="58" xfId="0" applyFont="1" applyFill="1" applyBorder="1" applyAlignment="1">
      <alignment horizontal="center" vertical="center" wrapText="1"/>
    </xf>
    <xf numFmtId="0" fontId="32" fillId="5" borderId="57" xfId="0" applyFont="1" applyFill="1" applyBorder="1" applyAlignment="1">
      <alignment horizontal="center" vertical="center" wrapText="1"/>
    </xf>
    <xf numFmtId="0" fontId="31" fillId="5" borderId="91" xfId="0" applyFont="1" applyFill="1" applyBorder="1" applyAlignment="1">
      <alignment horizontal="center" vertical="center" wrapText="1"/>
    </xf>
    <xf numFmtId="0" fontId="29" fillId="0" borderId="58" xfId="0" applyFont="1" applyBorder="1" applyAlignment="1">
      <alignment horizontal="center" vertical="center" wrapText="1"/>
    </xf>
    <xf numFmtId="0" fontId="29" fillId="0" borderId="57" xfId="0" applyFont="1" applyBorder="1" applyAlignment="1">
      <alignment horizontal="center" vertical="center" wrapText="1"/>
    </xf>
    <xf numFmtId="0" fontId="73" fillId="5" borderId="90" xfId="0" applyFont="1" applyFill="1" applyBorder="1" applyAlignment="1">
      <alignment horizontal="center" vertical="center" wrapText="1"/>
    </xf>
    <xf numFmtId="0" fontId="73" fillId="5" borderId="91" xfId="0" applyFont="1" applyFill="1" applyBorder="1" applyAlignment="1">
      <alignment horizontal="center" vertical="center" wrapText="1"/>
    </xf>
    <xf numFmtId="0" fontId="73" fillId="5" borderId="56" xfId="0" applyFont="1" applyFill="1" applyBorder="1" applyAlignment="1">
      <alignment horizontal="center" vertical="center" wrapText="1"/>
    </xf>
    <xf numFmtId="0" fontId="29" fillId="0" borderId="54" xfId="0" applyFont="1" applyBorder="1" applyAlignment="1">
      <alignment horizontal="center" vertical="center" wrapText="1"/>
    </xf>
    <xf numFmtId="0" fontId="58" fillId="0" borderId="54" xfId="0" applyFont="1" applyBorder="1" applyAlignment="1">
      <alignment horizontal="justify" vertical="center" wrapText="1"/>
    </xf>
    <xf numFmtId="0" fontId="29" fillId="0" borderId="93" xfId="0" applyFont="1" applyBorder="1" applyAlignment="1">
      <alignment horizontal="center" vertical="center" wrapText="1"/>
    </xf>
    <xf numFmtId="0" fontId="29" fillId="0" borderId="0" xfId="0" applyFont="1" applyAlignment="1">
      <alignment horizontal="center" vertical="center" wrapText="1"/>
    </xf>
    <xf numFmtId="0" fontId="29" fillId="0" borderId="89" xfId="0" applyFont="1" applyBorder="1" applyAlignment="1">
      <alignment horizontal="center" vertical="center" wrapText="1"/>
    </xf>
    <xf numFmtId="0" fontId="29" fillId="0" borderId="53" xfId="0" applyFont="1" applyBorder="1" applyAlignment="1">
      <alignment horizontal="center" vertical="center" wrapText="1"/>
    </xf>
    <xf numFmtId="0" fontId="29" fillId="0" borderId="52" xfId="0" applyFont="1" applyBorder="1" applyAlignment="1">
      <alignment horizontal="center" vertical="center" wrapText="1"/>
    </xf>
    <xf numFmtId="0" fontId="29" fillId="0" borderId="90" xfId="0" applyFont="1" applyBorder="1" applyAlignment="1">
      <alignment horizontal="center" vertical="center" wrapText="1"/>
    </xf>
    <xf numFmtId="0" fontId="29" fillId="0" borderId="91" xfId="0" applyFont="1" applyBorder="1" applyAlignment="1">
      <alignment horizontal="center" vertical="center" wrapText="1"/>
    </xf>
    <xf numFmtId="0" fontId="29" fillId="0" borderId="56" xfId="0" applyFont="1" applyBorder="1" applyAlignment="1">
      <alignment horizontal="center" vertical="center" wrapText="1"/>
    </xf>
    <xf numFmtId="0" fontId="0" fillId="0" borderId="92" xfId="0" applyBorder="1" applyAlignment="1">
      <alignment vertical="center" wrapText="1"/>
    </xf>
    <xf numFmtId="0" fontId="0" fillId="0" borderId="0" xfId="0" applyAlignment="1">
      <alignment vertical="center" wrapText="1"/>
    </xf>
    <xf numFmtId="0" fontId="0" fillId="0" borderId="55" xfId="0" applyBorder="1" applyAlignment="1">
      <alignment vertical="center" wrapText="1"/>
    </xf>
    <xf numFmtId="0" fontId="0" fillId="0" borderId="53" xfId="0" applyBorder="1" applyAlignment="1">
      <alignment vertical="center" wrapText="1"/>
    </xf>
    <xf numFmtId="0" fontId="74" fillId="0" borderId="92" xfId="0" applyFont="1" applyBorder="1" applyAlignment="1">
      <alignment horizontal="justify" vertical="center" wrapText="1"/>
    </xf>
    <xf numFmtId="0" fontId="74" fillId="0" borderId="0" xfId="0" applyFont="1" applyAlignment="1">
      <alignment horizontal="justify" vertical="center" wrapText="1"/>
    </xf>
    <xf numFmtId="0" fontId="74" fillId="0" borderId="55" xfId="0" applyFont="1" applyBorder="1" applyAlignment="1">
      <alignment horizontal="justify" vertical="center" wrapText="1"/>
    </xf>
    <xf numFmtId="0" fontId="75" fillId="0" borderId="58" xfId="0" applyFont="1" applyBorder="1" applyAlignment="1">
      <alignment horizontal="center" vertical="center" wrapText="1"/>
    </xf>
    <xf numFmtId="0" fontId="75" fillId="0" borderId="57" xfId="0" applyFont="1" applyBorder="1" applyAlignment="1">
      <alignment horizontal="center" vertical="center" wrapText="1"/>
    </xf>
    <xf numFmtId="0" fontId="74" fillId="0" borderId="89" xfId="0" applyFont="1" applyBorder="1" applyAlignment="1">
      <alignment horizontal="justify" vertical="center" wrapText="1"/>
    </xf>
    <xf numFmtId="0" fontId="74" fillId="0" borderId="53" xfId="0" applyFont="1" applyBorder="1" applyAlignment="1">
      <alignment horizontal="justify" vertical="center" wrapText="1"/>
    </xf>
    <xf numFmtId="0" fontId="74" fillId="0" borderId="52" xfId="0" applyFont="1" applyBorder="1" applyAlignment="1">
      <alignment horizontal="justify" vertical="center" wrapText="1"/>
    </xf>
    <xf numFmtId="176" fontId="29" fillId="0" borderId="83" xfId="1" applyNumberFormat="1" applyFont="1" applyBorder="1" applyAlignment="1">
      <alignment horizontal="center" vertical="center" shrinkToFit="1"/>
    </xf>
    <xf numFmtId="176" fontId="29" fillId="0" borderId="84" xfId="1" applyNumberFormat="1" applyFont="1" applyBorder="1" applyAlignment="1">
      <alignment horizontal="center" vertical="center" shrinkToFit="1"/>
    </xf>
    <xf numFmtId="176" fontId="29" fillId="0" borderId="85" xfId="1" applyNumberFormat="1" applyFont="1" applyBorder="1" applyAlignment="1">
      <alignment horizontal="center" vertical="center" shrinkToFit="1"/>
    </xf>
    <xf numFmtId="0" fontId="14" fillId="0" borderId="23" xfId="0" applyFont="1" applyBorder="1" applyAlignment="1">
      <alignment horizontal="center" vertical="center" shrinkToFit="1"/>
    </xf>
    <xf numFmtId="0" fontId="14" fillId="0" borderId="19" xfId="0" applyFont="1" applyBorder="1" applyAlignment="1">
      <alignment horizontal="center" vertical="center" shrinkToFit="1"/>
    </xf>
    <xf numFmtId="0" fontId="14" fillId="0" borderId="15" xfId="0" applyFont="1" applyBorder="1" applyAlignment="1">
      <alignment horizontal="center" vertical="center" shrinkToFit="1"/>
    </xf>
    <xf numFmtId="0" fontId="14" fillId="0" borderId="20" xfId="0" applyFont="1" applyBorder="1" applyAlignment="1">
      <alignment horizontal="center" vertical="center" shrinkToFit="1"/>
    </xf>
    <xf numFmtId="41" fontId="14" fillId="0" borderId="15" xfId="3" applyFont="1" applyBorder="1" applyAlignment="1">
      <alignment horizontal="center" vertical="center" shrinkToFit="1"/>
    </xf>
    <xf numFmtId="41" fontId="14" fillId="0" borderId="20" xfId="3" applyFont="1" applyBorder="1" applyAlignment="1">
      <alignment horizontal="center" vertical="center" shrinkToFit="1"/>
    </xf>
    <xf numFmtId="41" fontId="71" fillId="0" borderId="86" xfId="1" applyFont="1" applyBorder="1" applyAlignment="1">
      <alignment horizontal="center" vertical="center"/>
    </xf>
    <xf numFmtId="41" fontId="71" fillId="0" borderId="84" xfId="1" applyFont="1" applyBorder="1" applyAlignment="1">
      <alignment horizontal="center" vertical="center"/>
    </xf>
    <xf numFmtId="41" fontId="71" fillId="0" borderId="85" xfId="1" applyFont="1" applyBorder="1" applyAlignment="1">
      <alignment horizontal="center" vertical="center"/>
    </xf>
    <xf numFmtId="0" fontId="14" fillId="0" borderId="16" xfId="0" applyFont="1" applyBorder="1" applyAlignment="1">
      <alignment horizontal="center" vertical="center" shrinkToFit="1"/>
    </xf>
    <xf numFmtId="0" fontId="14" fillId="0" borderId="21" xfId="0" applyFont="1" applyBorder="1" applyAlignment="1">
      <alignment horizontal="center" vertical="center" shrinkToFit="1"/>
    </xf>
    <xf numFmtId="0" fontId="70" fillId="0" borderId="5" xfId="0" applyFont="1" applyBorder="1" applyAlignment="1">
      <alignment horizontal="center" vertical="center"/>
    </xf>
    <xf numFmtId="0" fontId="70" fillId="0" borderId="0" xfId="0" applyFont="1" applyAlignment="1">
      <alignment horizontal="center" vertical="center"/>
    </xf>
    <xf numFmtId="0" fontId="70" fillId="0" borderId="6" xfId="0" applyFont="1" applyBorder="1" applyAlignment="1">
      <alignment horizontal="center" vertical="center"/>
    </xf>
    <xf numFmtId="41" fontId="29" fillId="2" borderId="109" xfId="5" quotePrefix="1" applyFont="1" applyFill="1" applyBorder="1" applyAlignment="1">
      <alignment horizontal="center" vertical="center"/>
    </xf>
    <xf numFmtId="41" fontId="29" fillId="2" borderId="3" xfId="5" applyFont="1" applyFill="1" applyBorder="1" applyAlignment="1">
      <alignment horizontal="center" vertical="center"/>
    </xf>
    <xf numFmtId="41" fontId="29" fillId="2" borderId="4" xfId="5" applyFont="1" applyFill="1" applyBorder="1" applyAlignment="1">
      <alignment horizontal="center" vertical="center"/>
    </xf>
    <xf numFmtId="41" fontId="29" fillId="2" borderId="111" xfId="5" applyFont="1" applyFill="1" applyBorder="1" applyAlignment="1">
      <alignment horizontal="center" vertical="center"/>
    </xf>
    <xf numFmtId="41" fontId="29" fillId="2" borderId="8" xfId="5" applyFont="1" applyFill="1" applyBorder="1" applyAlignment="1">
      <alignment horizontal="center" vertical="center"/>
    </xf>
    <xf numFmtId="41" fontId="29" fillId="2" borderId="9" xfId="5" applyFont="1" applyFill="1" applyBorder="1" applyAlignment="1">
      <alignment horizontal="center" vertical="center"/>
    </xf>
    <xf numFmtId="176" fontId="14" fillId="2" borderId="13" xfId="5" applyNumberFormat="1" applyFont="1" applyFill="1" applyBorder="1" applyAlignment="1">
      <alignment horizontal="center" vertical="center"/>
    </xf>
    <xf numFmtId="185" fontId="14" fillId="3" borderId="0" xfId="5" applyNumberFormat="1" applyFont="1" applyFill="1" applyBorder="1" applyAlignment="1">
      <alignment horizontal="center" vertical="center"/>
    </xf>
    <xf numFmtId="41" fontId="14" fillId="3" borderId="0" xfId="5" applyFont="1" applyFill="1" applyBorder="1" applyAlignment="1">
      <alignment horizontal="center" vertical="center" shrinkToFit="1"/>
    </xf>
    <xf numFmtId="2" fontId="14" fillId="2" borderId="8" xfId="9" applyNumberFormat="1" applyFont="1" applyFill="1" applyBorder="1" applyAlignment="1">
      <alignment horizontal="center" vertical="center"/>
    </xf>
    <xf numFmtId="0" fontId="14" fillId="2" borderId="8" xfId="9" applyFont="1" applyFill="1" applyBorder="1" applyAlignment="1">
      <alignment horizontal="center" vertical="center"/>
    </xf>
    <xf numFmtId="3" fontId="14" fillId="2" borderId="0" xfId="9" applyNumberFormat="1" applyFont="1" applyFill="1" applyBorder="1" applyAlignment="1">
      <alignment horizontal="center" vertical="center"/>
    </xf>
    <xf numFmtId="41" fontId="14" fillId="2" borderId="0" xfId="5" applyFont="1" applyFill="1" applyBorder="1" applyAlignment="1">
      <alignment horizontal="center" vertical="center" shrinkToFit="1"/>
    </xf>
    <xf numFmtId="183" fontId="14" fillId="2" borderId="0" xfId="9" applyNumberFormat="1" applyFont="1" applyFill="1" applyBorder="1" applyAlignment="1">
      <alignment horizontal="center" vertical="center"/>
    </xf>
    <xf numFmtId="176" fontId="14" fillId="0" borderId="0" xfId="5" applyNumberFormat="1" applyFont="1" applyBorder="1" applyAlignment="1">
      <alignment horizontal="center" vertical="center"/>
    </xf>
    <xf numFmtId="3" fontId="14" fillId="2" borderId="8" xfId="9" applyNumberFormat="1" applyFont="1" applyFill="1" applyBorder="1" applyAlignment="1">
      <alignment horizontal="center" vertical="center"/>
    </xf>
    <xf numFmtId="3" fontId="14" fillId="2" borderId="8" xfId="9" applyNumberFormat="1" applyFont="1" applyFill="1" applyBorder="1" applyAlignment="1">
      <alignment horizontal="center" vertical="center" shrinkToFit="1"/>
    </xf>
    <xf numFmtId="41" fontId="14" fillId="3" borderId="0" xfId="5" applyFont="1" applyFill="1" applyBorder="1" applyAlignment="1">
      <alignment horizontal="center" vertical="center"/>
    </xf>
    <xf numFmtId="0" fontId="14" fillId="2" borderId="0" xfId="9" applyFont="1" applyFill="1" applyBorder="1" applyAlignment="1">
      <alignment horizontal="center" vertical="center"/>
    </xf>
    <xf numFmtId="0" fontId="14" fillId="2" borderId="0" xfId="9" quotePrefix="1" applyFont="1" applyFill="1" applyBorder="1" applyAlignment="1">
      <alignment horizontal="center" vertical="center"/>
    </xf>
    <xf numFmtId="0" fontId="14" fillId="3" borderId="0" xfId="9" applyFont="1" applyFill="1" applyBorder="1" applyAlignment="1">
      <alignment horizontal="center" vertical="center"/>
    </xf>
    <xf numFmtId="2" fontId="14" fillId="2" borderId="0" xfId="9" applyNumberFormat="1" applyFont="1" applyFill="1" applyBorder="1" applyAlignment="1">
      <alignment horizontal="center" vertical="center"/>
    </xf>
    <xf numFmtId="186" fontId="14" fillId="2" borderId="0" xfId="7" applyNumberFormat="1" applyFont="1" applyFill="1" applyBorder="1" applyAlignment="1">
      <alignment horizontal="center" vertical="center"/>
    </xf>
    <xf numFmtId="2" fontId="14" fillId="3" borderId="0" xfId="9" applyNumberFormat="1" applyFont="1" applyFill="1" applyBorder="1" applyAlignment="1">
      <alignment horizontal="center" vertical="center"/>
    </xf>
    <xf numFmtId="0" fontId="14" fillId="2" borderId="0" xfId="9" applyFont="1" applyFill="1" applyBorder="1" applyAlignment="1">
      <alignment horizontal="left" vertical="center"/>
    </xf>
    <xf numFmtId="176" fontId="14" fillId="3" borderId="0" xfId="1" applyNumberFormat="1" applyFont="1" applyFill="1" applyBorder="1" applyAlignment="1">
      <alignment horizontal="center" vertical="center"/>
    </xf>
    <xf numFmtId="41" fontId="29" fillId="2" borderId="49" xfId="5" applyFont="1" applyFill="1" applyBorder="1" applyAlignment="1">
      <alignment horizontal="left" vertical="center"/>
    </xf>
    <xf numFmtId="41" fontId="29" fillId="2" borderId="98" xfId="5" applyFont="1" applyFill="1" applyBorder="1" applyAlignment="1">
      <alignment horizontal="left" vertical="center"/>
    </xf>
    <xf numFmtId="0" fontId="31" fillId="0" borderId="128" xfId="7" applyFont="1" applyBorder="1" applyAlignment="1">
      <alignment horizontal="center" vertical="center"/>
    </xf>
    <xf numFmtId="0" fontId="31" fillId="0" borderId="129" xfId="7" applyFont="1" applyBorder="1" applyAlignment="1">
      <alignment horizontal="center" vertical="center"/>
    </xf>
    <xf numFmtId="0" fontId="31" fillId="0" borderId="129" xfId="7" applyFont="1" applyBorder="1" applyAlignment="1">
      <alignment horizontal="center" vertical="center" wrapText="1"/>
    </xf>
    <xf numFmtId="0" fontId="31" fillId="0" borderId="130" xfId="7" applyFont="1" applyBorder="1" applyAlignment="1">
      <alignment horizontal="center" vertical="center" wrapText="1"/>
    </xf>
    <xf numFmtId="184" fontId="29" fillId="2" borderId="109" xfId="4" applyNumberFormat="1" applyFont="1" applyFill="1" applyBorder="1" applyAlignment="1">
      <alignment horizontal="center" vertical="center" wrapText="1"/>
    </xf>
    <xf numFmtId="184" fontId="29" fillId="2" borderId="3" xfId="4" applyNumberFormat="1" applyFont="1" applyFill="1" applyBorder="1" applyAlignment="1">
      <alignment horizontal="center" vertical="center"/>
    </xf>
    <xf numFmtId="184" fontId="29" fillId="2" borderId="107" xfId="4" applyNumberFormat="1" applyFont="1" applyFill="1" applyBorder="1" applyAlignment="1">
      <alignment horizontal="center" vertical="center"/>
    </xf>
    <xf numFmtId="184" fontId="29" fillId="2" borderId="111" xfId="4" applyNumberFormat="1" applyFont="1" applyFill="1" applyBorder="1" applyAlignment="1">
      <alignment horizontal="center" vertical="center"/>
    </xf>
    <xf numFmtId="184" fontId="29" fillId="2" borderId="8" xfId="4" applyNumberFormat="1" applyFont="1" applyFill="1" applyBorder="1" applyAlignment="1">
      <alignment horizontal="center" vertical="center"/>
    </xf>
    <xf numFmtId="184" fontId="29" fillId="2" borderId="110" xfId="4" applyNumberFormat="1" applyFont="1" applyFill="1" applyBorder="1" applyAlignment="1">
      <alignment horizontal="center" vertical="center"/>
    </xf>
    <xf numFmtId="187" fontId="29" fillId="2" borderId="109" xfId="4" applyNumberFormat="1" applyFont="1" applyFill="1" applyBorder="1" applyAlignment="1">
      <alignment horizontal="center" vertical="center"/>
    </xf>
    <xf numFmtId="187" fontId="29" fillId="2" borderId="3" xfId="4" applyNumberFormat="1" applyFont="1" applyFill="1" applyBorder="1" applyAlignment="1">
      <alignment horizontal="center" vertical="center"/>
    </xf>
    <xf numFmtId="187" fontId="29" fillId="2" borderId="107" xfId="4" applyNumberFormat="1" applyFont="1" applyFill="1" applyBorder="1" applyAlignment="1">
      <alignment horizontal="center" vertical="center"/>
    </xf>
    <xf numFmtId="187" fontId="29" fillId="2" borderId="111" xfId="4" applyNumberFormat="1" applyFont="1" applyFill="1" applyBorder="1" applyAlignment="1">
      <alignment horizontal="center" vertical="center"/>
    </xf>
    <xf numFmtId="187" fontId="29" fillId="2" borderId="8" xfId="4" applyNumberFormat="1" applyFont="1" applyFill="1" applyBorder="1" applyAlignment="1">
      <alignment horizontal="center" vertical="center"/>
    </xf>
    <xf numFmtId="187" fontId="29" fillId="2" borderId="110" xfId="4" applyNumberFormat="1" applyFont="1" applyFill="1" applyBorder="1" applyAlignment="1">
      <alignment horizontal="center" vertical="center"/>
    </xf>
    <xf numFmtId="0" fontId="29" fillId="2" borderId="117" xfId="7" applyFont="1" applyFill="1" applyBorder="1" applyAlignment="1">
      <alignment horizontal="center" vertical="center" shrinkToFit="1"/>
    </xf>
    <xf numFmtId="0" fontId="29" fillId="2" borderId="49" xfId="7" quotePrefix="1" applyFont="1" applyFill="1" applyBorder="1" applyAlignment="1">
      <alignment horizontal="center" vertical="center" shrinkToFit="1"/>
    </xf>
    <xf numFmtId="184" fontId="29" fillId="2" borderId="49" xfId="4" applyNumberFormat="1" applyFont="1" applyFill="1" applyBorder="1" applyAlignment="1">
      <alignment horizontal="center" vertical="center"/>
    </xf>
    <xf numFmtId="0" fontId="29" fillId="2" borderId="49" xfId="7" applyFont="1" applyFill="1" applyBorder="1" applyAlignment="1">
      <alignment horizontal="center" vertical="center"/>
    </xf>
    <xf numFmtId="187" fontId="29" fillId="2" borderId="49" xfId="4" applyNumberFormat="1" applyFont="1" applyFill="1" applyBorder="1" applyAlignment="1">
      <alignment horizontal="center" vertical="center"/>
    </xf>
    <xf numFmtId="0" fontId="76" fillId="0" borderId="61" xfId="0" applyFont="1" applyBorder="1" applyAlignment="1">
      <alignment horizontal="left" vertical="center"/>
    </xf>
    <xf numFmtId="0" fontId="76" fillId="0" borderId="59" xfId="0" applyFont="1" applyBorder="1" applyAlignment="1">
      <alignment horizontal="left" vertical="center"/>
    </xf>
    <xf numFmtId="0" fontId="29" fillId="2" borderId="2" xfId="7" applyFont="1" applyFill="1" applyBorder="1" applyAlignment="1">
      <alignment horizontal="center" vertical="center" wrapText="1" shrinkToFit="1"/>
    </xf>
    <xf numFmtId="0" fontId="0" fillId="0" borderId="3" xfId="0" applyBorder="1" applyAlignment="1">
      <alignment horizontal="center" wrapText="1"/>
    </xf>
    <xf numFmtId="0" fontId="0" fillId="0" borderId="107"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110" xfId="0" applyBorder="1" applyAlignment="1">
      <alignment horizontal="center" wrapText="1"/>
    </xf>
    <xf numFmtId="184" fontId="29" fillId="2" borderId="109" xfId="4" applyNumberFormat="1" applyFont="1" applyFill="1" applyBorder="1" applyAlignment="1">
      <alignment vertical="center"/>
    </xf>
    <xf numFmtId="184" fontId="29" fillId="2" borderId="3" xfId="4" applyNumberFormat="1" applyFont="1" applyFill="1" applyBorder="1" applyAlignment="1">
      <alignment vertical="center"/>
    </xf>
    <xf numFmtId="184" fontId="29" fillId="2" borderId="107" xfId="4" applyNumberFormat="1" applyFont="1" applyFill="1" applyBorder="1" applyAlignment="1">
      <alignment vertical="center"/>
    </xf>
    <xf numFmtId="184" fontId="29" fillId="2" borderId="111" xfId="4" applyNumberFormat="1" applyFont="1" applyFill="1" applyBorder="1" applyAlignment="1">
      <alignment vertical="center"/>
    </xf>
    <xf numFmtId="184" fontId="29" fillId="2" borderId="8" xfId="4" applyNumberFormat="1" applyFont="1" applyFill="1" applyBorder="1" applyAlignment="1">
      <alignment vertical="center"/>
    </xf>
    <xf numFmtId="184" fontId="29" fillId="2" borderId="110" xfId="4" applyNumberFormat="1" applyFont="1" applyFill="1" applyBorder="1" applyAlignment="1">
      <alignment vertical="center"/>
    </xf>
    <xf numFmtId="0" fontId="29" fillId="2" borderId="109" xfId="7" applyFont="1" applyFill="1" applyBorder="1" applyAlignment="1">
      <alignment horizontal="center" vertical="center"/>
    </xf>
    <xf numFmtId="0" fontId="29" fillId="2" borderId="3" xfId="7" applyFont="1" applyFill="1" applyBorder="1" applyAlignment="1">
      <alignment horizontal="center" vertical="center"/>
    </xf>
    <xf numFmtId="0" fontId="29" fillId="2" borderId="107" xfId="7" applyFont="1" applyFill="1" applyBorder="1" applyAlignment="1">
      <alignment horizontal="center" vertical="center"/>
    </xf>
    <xf numFmtId="0" fontId="29" fillId="2" borderId="111" xfId="7" applyFont="1" applyFill="1" applyBorder="1" applyAlignment="1">
      <alignment horizontal="center" vertical="center"/>
    </xf>
    <xf numFmtId="0" fontId="29" fillId="2" borderId="8" xfId="7" applyFont="1" applyFill="1" applyBorder="1" applyAlignment="1">
      <alignment horizontal="center" vertical="center"/>
    </xf>
    <xf numFmtId="0" fontId="29" fillId="2" borderId="110" xfId="7" applyFont="1" applyFill="1" applyBorder="1" applyAlignment="1">
      <alignment horizontal="center" vertical="center"/>
    </xf>
    <xf numFmtId="41" fontId="29" fillId="2" borderId="83" xfId="5" applyFont="1" applyFill="1" applyBorder="1" applyAlignment="1">
      <alignment horizontal="center" vertical="center"/>
    </xf>
    <xf numFmtId="41" fontId="29" fillId="2" borderId="84" xfId="5" applyFont="1" applyFill="1" applyBorder="1" applyAlignment="1">
      <alignment horizontal="center" vertical="center"/>
    </xf>
    <xf numFmtId="41" fontId="29" fillId="2" borderId="94" xfId="5" applyFont="1" applyFill="1" applyBorder="1" applyAlignment="1">
      <alignment horizontal="center" vertical="center"/>
    </xf>
    <xf numFmtId="41" fontId="29" fillId="2" borderId="95" xfId="5" applyFont="1" applyFill="1" applyBorder="1" applyAlignment="1">
      <alignment horizontal="center" vertical="center"/>
    </xf>
    <xf numFmtId="41" fontId="29" fillId="2" borderId="96" xfId="5" applyFont="1" applyFill="1" applyBorder="1" applyAlignment="1">
      <alignment horizontal="center" vertical="center"/>
    </xf>
    <xf numFmtId="41" fontId="29" fillId="2" borderId="97" xfId="5" applyFont="1" applyFill="1" applyBorder="1" applyAlignment="1">
      <alignment horizontal="center" vertical="center"/>
    </xf>
    <xf numFmtId="0" fontId="76" fillId="0" borderId="0" xfId="0" applyFont="1" applyAlignment="1">
      <alignment horizontal="left" vertical="center"/>
    </xf>
    <xf numFmtId="0" fontId="31" fillId="0" borderId="99" xfId="7" applyFont="1" applyBorder="1" applyAlignment="1">
      <alignment horizontal="center" vertical="center"/>
    </xf>
    <xf numFmtId="0" fontId="31" fillId="0" borderId="22" xfId="7" applyFont="1" applyBorder="1" applyAlignment="1">
      <alignment horizontal="center" vertical="center"/>
    </xf>
    <xf numFmtId="0" fontId="31" fillId="0" borderId="22" xfId="7" applyFont="1" applyBorder="1" applyAlignment="1">
      <alignment horizontal="center" vertical="center" wrapText="1"/>
    </xf>
    <xf numFmtId="0" fontId="31" fillId="0" borderId="100" xfId="7" applyFont="1" applyBorder="1" applyAlignment="1">
      <alignment horizontal="center" vertical="center" wrapText="1"/>
    </xf>
    <xf numFmtId="0" fontId="29" fillId="2" borderId="2" xfId="7" applyFont="1" applyFill="1" applyBorder="1" applyAlignment="1">
      <alignment horizontal="center" vertical="center" shrinkToFit="1"/>
    </xf>
    <xf numFmtId="0" fontId="0" fillId="0" borderId="3" xfId="0" applyBorder="1" applyAlignment="1">
      <alignment horizontal="center"/>
    </xf>
    <xf numFmtId="0" fontId="0" fillId="0" borderId="107"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10" xfId="0" applyBorder="1" applyAlignment="1">
      <alignment horizontal="center"/>
    </xf>
    <xf numFmtId="186" fontId="14" fillId="2" borderId="0" xfId="7" applyNumberFormat="1" applyFont="1" applyFill="1" applyAlignment="1">
      <alignment horizontal="center" vertical="center"/>
    </xf>
    <xf numFmtId="0" fontId="14" fillId="3" borderId="0" xfId="9" applyFont="1" applyFill="1" applyAlignment="1">
      <alignment horizontal="center" vertical="center"/>
    </xf>
    <xf numFmtId="176" fontId="14" fillId="3" borderId="0" xfId="1" applyNumberFormat="1" applyFont="1" applyFill="1" applyAlignment="1">
      <alignment horizontal="center" vertical="center"/>
    </xf>
    <xf numFmtId="2" fontId="14" fillId="3" borderId="0" xfId="9" applyNumberFormat="1" applyFont="1" applyFill="1" applyAlignment="1">
      <alignment horizontal="center" vertical="center"/>
    </xf>
    <xf numFmtId="0" fontId="14" fillId="2" borderId="0" xfId="9" applyFont="1" applyFill="1" applyAlignment="1">
      <alignment horizontal="left" vertical="center"/>
    </xf>
    <xf numFmtId="3" fontId="14" fillId="2" borderId="0" xfId="9" applyNumberFormat="1" applyFont="1" applyFill="1" applyAlignment="1">
      <alignment horizontal="right" vertical="center"/>
    </xf>
    <xf numFmtId="0" fontId="14" fillId="2" borderId="0" xfId="9" applyFont="1" applyFill="1" applyAlignment="1">
      <alignment horizontal="center" vertical="center"/>
    </xf>
    <xf numFmtId="0" fontId="14" fillId="2" borderId="0" xfId="9" quotePrefix="1" applyFont="1" applyFill="1" applyAlignment="1">
      <alignment horizontal="center" vertical="center"/>
    </xf>
    <xf numFmtId="2" fontId="14" fillId="2" borderId="0" xfId="9" applyNumberFormat="1" applyFont="1" applyFill="1" applyAlignment="1">
      <alignment horizontal="center" vertical="center"/>
    </xf>
    <xf numFmtId="183" fontId="14" fillId="2" borderId="0" xfId="9" applyNumberFormat="1" applyFont="1" applyFill="1" applyAlignment="1">
      <alignment horizontal="center" vertical="center"/>
    </xf>
    <xf numFmtId="41" fontId="14" fillId="3" borderId="0" xfId="5" applyFont="1" applyFill="1" applyAlignment="1">
      <alignment horizontal="center" vertical="center"/>
    </xf>
    <xf numFmtId="176" fontId="14" fillId="0" borderId="0" xfId="5" applyNumberFormat="1" applyFont="1" applyAlignment="1">
      <alignment horizontal="center" vertical="center"/>
    </xf>
    <xf numFmtId="185" fontId="14" fillId="3" borderId="0" xfId="5" applyNumberFormat="1" applyFont="1" applyFill="1" applyAlignment="1">
      <alignment horizontal="center" vertical="center"/>
    </xf>
    <xf numFmtId="41" fontId="14" fillId="3" borderId="0" xfId="5" applyFont="1" applyFill="1" applyAlignment="1">
      <alignment horizontal="center" vertical="center" shrinkToFit="1"/>
    </xf>
    <xf numFmtId="176" fontId="14" fillId="2" borderId="8" xfId="5" applyNumberFormat="1" applyFont="1" applyFill="1" applyBorder="1" applyAlignment="1">
      <alignment horizontal="center" vertical="center"/>
    </xf>
    <xf numFmtId="3" fontId="14" fillId="2" borderId="0" xfId="9" applyNumberFormat="1" applyFont="1" applyFill="1" applyAlignment="1">
      <alignment horizontal="center" vertical="center"/>
    </xf>
    <xf numFmtId="41" fontId="14" fillId="2" borderId="0" xfId="5" applyFont="1" applyFill="1" applyAlignment="1">
      <alignment horizontal="center" vertical="center" shrinkToFit="1"/>
    </xf>
    <xf numFmtId="0" fontId="6" fillId="0" borderId="46" xfId="0" applyFont="1" applyBorder="1" applyAlignment="1">
      <alignment horizontal="left" vertical="top" wrapText="1"/>
    </xf>
    <xf numFmtId="0" fontId="6" fillId="0" borderId="29" xfId="0" applyFont="1" applyBorder="1" applyAlignment="1">
      <alignment horizontal="left" vertical="top" wrapText="1"/>
    </xf>
    <xf numFmtId="0" fontId="0" fillId="0" borderId="0" xfId="0" applyAlignment="1">
      <alignment horizontal="left" vertical="center" wrapText="1"/>
    </xf>
    <xf numFmtId="0" fontId="77" fillId="0" borderId="0" xfId="13" applyFont="1" applyAlignment="1">
      <alignment horizontal="left" vertical="center" shrinkToFit="1"/>
    </xf>
    <xf numFmtId="0" fontId="34" fillId="5" borderId="24" xfId="0" applyFont="1" applyFill="1" applyBorder="1" applyAlignment="1">
      <alignment horizontal="center" vertical="center" wrapText="1"/>
    </xf>
    <xf numFmtId="0" fontId="34" fillId="5" borderId="27" xfId="0" applyFont="1" applyFill="1" applyBorder="1" applyAlignment="1">
      <alignment horizontal="center" vertical="center" wrapText="1"/>
    </xf>
    <xf numFmtId="0" fontId="34" fillId="0" borderId="24" xfId="0" applyFont="1" applyBorder="1" applyAlignment="1">
      <alignment horizontal="right" vertical="center" wrapText="1"/>
    </xf>
    <xf numFmtId="0" fontId="34" fillId="0" borderId="26" xfId="0" applyFont="1" applyBorder="1" applyAlignment="1">
      <alignment horizontal="right" vertical="center" wrapText="1"/>
    </xf>
    <xf numFmtId="0" fontId="34" fillId="0" borderId="27" xfId="0" applyFont="1" applyBorder="1" applyAlignment="1">
      <alignment horizontal="right" vertical="center" wrapText="1"/>
    </xf>
    <xf numFmtId="0" fontId="34" fillId="5" borderId="46" xfId="0" applyFont="1" applyFill="1" applyBorder="1" applyAlignment="1">
      <alignment horizontal="center" vertical="center" wrapText="1"/>
    </xf>
    <xf numFmtId="0" fontId="34" fillId="5" borderId="101" xfId="0" applyFont="1" applyFill="1" applyBorder="1" applyAlignment="1">
      <alignment horizontal="center" vertical="center" wrapText="1"/>
    </xf>
    <xf numFmtId="0" fontId="34" fillId="5" borderId="29" xfId="0" applyFont="1" applyFill="1" applyBorder="1" applyAlignment="1">
      <alignment horizontal="center" vertical="center" wrapText="1"/>
    </xf>
    <xf numFmtId="0" fontId="15" fillId="0" borderId="102" xfId="0" applyFont="1" applyBorder="1" applyAlignment="1">
      <alignment horizontal="center" vertical="center" wrapText="1"/>
    </xf>
    <xf numFmtId="0" fontId="15" fillId="0" borderId="103" xfId="0" applyFont="1" applyBorder="1" applyAlignment="1">
      <alignment horizontal="center" vertical="center" wrapText="1"/>
    </xf>
    <xf numFmtId="0" fontId="15" fillId="0" borderId="104" xfId="0" applyFont="1" applyBorder="1" applyAlignment="1">
      <alignment horizontal="center" vertical="center" wrapText="1"/>
    </xf>
    <xf numFmtId="0" fontId="78" fillId="0" borderId="105" xfId="0" applyFont="1" applyBorder="1" applyAlignment="1">
      <alignment horizontal="center" vertical="center" wrapText="1"/>
    </xf>
    <xf numFmtId="0" fontId="78" fillId="0" borderId="0" xfId="0" applyFont="1" applyAlignment="1">
      <alignment horizontal="center" vertical="center" wrapText="1"/>
    </xf>
    <xf numFmtId="0" fontId="78" fillId="0" borderId="106" xfId="0" applyFont="1" applyBorder="1" applyAlignment="1">
      <alignment horizontal="center" vertical="center" wrapText="1"/>
    </xf>
    <xf numFmtId="0" fontId="78" fillId="0" borderId="70" xfId="0" applyFont="1" applyBorder="1" applyAlignment="1">
      <alignment horizontal="center" vertical="center" wrapText="1"/>
    </xf>
    <xf numFmtId="0" fontId="78" fillId="0" borderId="71" xfId="0" applyFont="1" applyBorder="1" applyAlignment="1">
      <alignment horizontal="center" vertical="center" wrapText="1"/>
    </xf>
    <xf numFmtId="0" fontId="78" fillId="0" borderId="72" xfId="0" applyFont="1" applyBorder="1" applyAlignment="1">
      <alignment horizontal="center" vertical="center" wrapText="1"/>
    </xf>
    <xf numFmtId="0" fontId="34" fillId="0" borderId="46" xfId="0" applyFont="1" applyBorder="1" applyAlignment="1">
      <alignment horizontal="center" vertical="center" wrapText="1"/>
    </xf>
    <xf numFmtId="0" fontId="34" fillId="0" borderId="101" xfId="0" applyFont="1" applyBorder="1" applyAlignment="1">
      <alignment horizontal="center" vertical="center" wrapText="1"/>
    </xf>
    <xf numFmtId="0" fontId="35" fillId="6" borderId="108" xfId="0" applyFont="1" applyFill="1" applyBorder="1" applyAlignment="1">
      <alignment horizontal="center" vertical="center" wrapText="1"/>
    </xf>
    <xf numFmtId="0" fontId="35" fillId="6" borderId="28" xfId="0" applyFont="1" applyFill="1" applyBorder="1" applyAlignment="1">
      <alignment horizontal="center" vertical="center" wrapText="1"/>
    </xf>
    <xf numFmtId="0" fontId="35" fillId="6" borderId="112" xfId="0" applyFont="1" applyFill="1" applyBorder="1" applyAlignment="1">
      <alignment horizontal="center" vertical="center" wrapText="1"/>
    </xf>
    <xf numFmtId="0" fontId="7" fillId="0" borderId="113" xfId="0" applyFont="1" applyBorder="1" applyAlignment="1">
      <alignment horizontal="left" vertical="center" wrapText="1"/>
    </xf>
    <xf numFmtId="0" fontId="7" fillId="0" borderId="8" xfId="0" applyFont="1" applyBorder="1" applyAlignment="1">
      <alignment horizontal="left" vertical="center" wrapText="1"/>
    </xf>
    <xf numFmtId="0" fontId="6" fillId="0" borderId="114" xfId="0" applyFont="1" applyBorder="1" applyAlignment="1">
      <alignment horizontal="left" vertical="top" wrapText="1"/>
    </xf>
    <xf numFmtId="0" fontId="6" fillId="0" borderId="115" xfId="0" applyFont="1" applyBorder="1" applyAlignment="1">
      <alignment horizontal="left" vertical="top" wrapText="1"/>
    </xf>
    <xf numFmtId="0" fontId="34" fillId="0" borderId="114" xfId="0" applyFont="1" applyBorder="1" applyAlignment="1">
      <alignment horizontal="center" vertical="center" wrapText="1"/>
    </xf>
    <xf numFmtId="0" fontId="34" fillId="0" borderId="116" xfId="0" applyFont="1" applyBorder="1" applyAlignment="1">
      <alignment horizontal="center" vertical="center" wrapText="1"/>
    </xf>
    <xf numFmtId="0" fontId="49" fillId="8" borderId="122" xfId="17" applyFont="1" applyFill="1" applyBorder="1" applyAlignment="1">
      <alignment horizontal="center" vertical="center"/>
    </xf>
    <xf numFmtId="0" fontId="49" fillId="8" borderId="121" xfId="18" applyFont="1" applyFill="1" applyBorder="1" applyAlignment="1">
      <alignment vertical="center"/>
    </xf>
    <xf numFmtId="203" fontId="95" fillId="0" borderId="0" xfId="22" applyNumberFormat="1" applyFont="1" applyAlignment="1">
      <alignment horizontal="center" vertical="center"/>
    </xf>
    <xf numFmtId="177" fontId="99" fillId="9" borderId="118" xfId="22" applyNumberFormat="1" applyFont="1" applyFill="1" applyBorder="1" applyAlignment="1">
      <alignment horizontal="center" vertical="center"/>
    </xf>
    <xf numFmtId="177" fontId="99" fillId="9" borderId="119" xfId="22" applyNumberFormat="1" applyFont="1" applyFill="1" applyBorder="1" applyAlignment="1">
      <alignment horizontal="center" vertical="center"/>
    </xf>
    <xf numFmtId="0" fontId="49" fillId="8" borderId="120" xfId="17" applyFont="1" applyFill="1" applyBorder="1" applyAlignment="1">
      <alignment horizontal="center" vertical="center"/>
    </xf>
    <xf numFmtId="0" fontId="90" fillId="0" borderId="0" xfId="21" applyFont="1" applyAlignment="1">
      <alignment horizontal="center" vertical="center"/>
    </xf>
    <xf numFmtId="200" fontId="94" fillId="0" borderId="0" xfId="22" applyNumberFormat="1" applyFont="1" applyAlignment="1">
      <alignment horizontal="center" vertical="center"/>
    </xf>
    <xf numFmtId="41" fontId="94" fillId="0" borderId="132" xfId="22" applyFont="1" applyBorder="1" applyAlignment="1">
      <alignment horizontal="center" vertical="center"/>
    </xf>
    <xf numFmtId="41" fontId="94" fillId="0" borderId="133" xfId="22" applyFont="1" applyBorder="1" applyAlignment="1">
      <alignment horizontal="center" vertical="center"/>
    </xf>
    <xf numFmtId="41" fontId="94" fillId="10" borderId="135" xfId="22" applyFont="1" applyFill="1" applyBorder="1" applyAlignment="1">
      <alignment vertical="center"/>
    </xf>
    <xf numFmtId="41" fontId="94" fillId="10" borderId="136" xfId="22" applyFont="1" applyFill="1" applyBorder="1" applyAlignment="1">
      <alignment vertical="center"/>
    </xf>
    <xf numFmtId="0" fontId="49" fillId="8" borderId="125" xfId="17" applyFont="1" applyFill="1" applyBorder="1" applyAlignment="1">
      <alignment horizontal="center" vertical="center"/>
    </xf>
    <xf numFmtId="0" fontId="49" fillId="8" borderId="125" xfId="18" applyFont="1" applyFill="1" applyBorder="1" applyAlignment="1">
      <alignment vertical="center"/>
    </xf>
    <xf numFmtId="0" fontId="79" fillId="0" borderId="0" xfId="16" applyFont="1" applyAlignment="1">
      <alignment vertical="center"/>
    </xf>
    <xf numFmtId="0" fontId="80" fillId="0" borderId="0" xfId="6" applyFont="1" applyAlignment="1">
      <alignment vertical="center"/>
    </xf>
    <xf numFmtId="0" fontId="49" fillId="8" borderId="125" xfId="17" applyFont="1" applyFill="1" applyBorder="1" applyAlignment="1">
      <alignment horizontal="center" vertical="center" wrapText="1"/>
    </xf>
    <xf numFmtId="0" fontId="10" fillId="0" borderId="0" xfId="11" applyFont="1" applyAlignment="1">
      <alignment horizontal="left" vertical="center"/>
    </xf>
    <xf numFmtId="0" fontId="8" fillId="0" borderId="0" xfId="11" applyFont="1" applyAlignment="1">
      <alignment horizontal="left" vertical="center"/>
    </xf>
    <xf numFmtId="193" fontId="29" fillId="0" borderId="0" xfId="11" applyNumberFormat="1" applyFont="1" applyAlignment="1">
      <alignment horizontal="center" vertical="center"/>
    </xf>
    <xf numFmtId="0" fontId="29" fillId="0" borderId="8" xfId="11" applyFont="1" applyBorder="1" applyAlignment="1">
      <alignment horizontal="right" vertical="center" shrinkToFit="1"/>
    </xf>
  </cellXfs>
  <cellStyles count="24">
    <cellStyle name="$_공사비2001-06" xfId="2" xr:uid="{00000000-0005-0000-0000-000002000000}"/>
    <cellStyle name="쉼표 [0]" xfId="1" builtinId="6"/>
    <cellStyle name="쉼표 [0] 2" xfId="3" xr:uid="{00000000-0005-0000-0000-000003000000}"/>
    <cellStyle name="쉼표 [0] 4" xfId="22" xr:uid="{22B4AA11-9FFF-4C93-B6FC-EF2B1313B1DB}"/>
    <cellStyle name="쉼표 [0] 4 4" xfId="15" xr:uid="{00000000-0005-0000-0000-000011000000}"/>
    <cellStyle name="쉼표 [0]_개략공사비 2" xfId="4" xr:uid="{00000000-0005-0000-0000-000004000000}"/>
    <cellStyle name="쉼표 [0]_내역서-초도상수도" xfId="5" xr:uid="{00000000-0005-0000-0000-000005000000}"/>
    <cellStyle name="쉼표 [0]_용역내역서" xfId="12" xr:uid="{00000000-0005-0000-0000-00000D000000}"/>
    <cellStyle name="표준" xfId="0" builtinId="0"/>
    <cellStyle name="표준 12" xfId="13" xr:uid="{00000000-0005-0000-0000-00000E000000}"/>
    <cellStyle name="표준 3" xfId="6" xr:uid="{00000000-0005-0000-0000-000007000000}"/>
    <cellStyle name="표준 3 2 2" xfId="16" xr:uid="{00000000-0005-0000-0000-000013000000}"/>
    <cellStyle name="표준 4 2 2" xfId="20" xr:uid="{00000000-0005-0000-0000-000017000000}"/>
    <cellStyle name="표준_1회설변내역서(0829) 2" xfId="10" xr:uid="{00000000-0005-0000-0000-00000B000000}"/>
    <cellStyle name="표준_개략공사비" xfId="7" xr:uid="{00000000-0005-0000-0000-000008000000}"/>
    <cellStyle name="표준_공제요율(변경)표 1부" xfId="19" xr:uid="{00000000-0005-0000-0000-000016000000}"/>
    <cellStyle name="표준_내역서-초도상수도" xfId="8" xr:uid="{00000000-0005-0000-0000-000009000000}"/>
    <cellStyle name="표준_담양설계내역서-최종" xfId="17" xr:uid="{00000000-0005-0000-0000-000014000000}"/>
    <cellStyle name="표준_설계예산서 2" xfId="23" xr:uid="{15CC97A4-AB0F-4644-A53F-F53FEF81189C}"/>
    <cellStyle name="표준_설계예산서(소흘,일동) 2" xfId="21" xr:uid="{61573659-9197-4714-A03F-472EAEAA8BCD}"/>
    <cellStyle name="표준_소규모 수도시설 개선사업" xfId="18" xr:uid="{00000000-0005-0000-0000-000015000000}"/>
    <cellStyle name="표준_아산내역(2천노임)" xfId="9" xr:uid="{00000000-0005-0000-0000-00000A000000}"/>
    <cellStyle name="표준_용역내역서" xfId="11" xr:uid="{00000000-0005-0000-0000-00000C000000}"/>
    <cellStyle name="하이퍼링크" xfId="14" builtinId="8"/>
  </cellStyles>
  <dxfs count="6">
    <dxf>
      <font>
        <b/>
        <i val="0"/>
        <strike val="0"/>
      </font>
      <border>
        <left style="thin">
          <color rgb="FFFF0000"/>
        </left>
        <right style="thin">
          <color rgb="FFFF0000"/>
        </right>
        <top style="thin">
          <color rgb="FFFF0000"/>
        </top>
        <bottom style="thin">
          <color rgb="FFFF0000"/>
        </bottom>
        <vertical/>
        <horizontal/>
      </border>
    </dxf>
    <dxf>
      <font>
        <b/>
        <i val="0"/>
      </font>
      <fill>
        <patternFill>
          <bgColor theme="9" tint="0.59996337778862885"/>
        </patternFill>
      </fill>
    </dxf>
    <dxf>
      <font>
        <b/>
        <i val="0"/>
      </font>
      <fill>
        <patternFill>
          <bgColor theme="9" tint="0.59996337778862885"/>
        </patternFill>
      </fill>
    </dxf>
    <dxf>
      <fill>
        <patternFill>
          <bgColor rgb="FFFF0000"/>
        </patternFill>
      </fill>
    </dxf>
    <dxf>
      <fill>
        <patternFill>
          <bgColor rgb="FF0070C0"/>
        </patternFill>
      </fill>
    </dxf>
    <dxf>
      <fill>
        <patternFill patternType="solid">
          <fgColor rgb="FF0070C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276225</xdr:colOff>
      <xdr:row>16</xdr:row>
      <xdr:rowOff>0</xdr:rowOff>
    </xdr:from>
    <xdr:to>
      <xdr:col>15</xdr:col>
      <xdr:colOff>0</xdr:colOff>
      <xdr:row>17</xdr:row>
      <xdr:rowOff>0</xdr:rowOff>
    </xdr:to>
    <xdr:pic>
      <xdr:nvPicPr>
        <xdr:cNvPr id="3" name="그림 2">
          <a:extLst>
            <a:ext uri="{FF2B5EF4-FFF2-40B4-BE49-F238E27FC236}">
              <a16:creationId xmlns:a16="http://schemas.microsoft.com/office/drawing/2014/main" id="{00000000-0008-0000-0100-000003000000}"/>
            </a:ext>
          </a:extLst>
        </xdr:cNvPr>
        <xdr:cNvPicPr/>
      </xdr:nvPicPr>
      <xdr:blipFill rotWithShape="1">
        <a:blip xmlns:r="http://schemas.openxmlformats.org/officeDocument/2006/relationships" r:embed="rId1"/>
        <a:stretch>
          <a:fillRect/>
        </a:stretch>
      </xdr:blipFill>
      <xdr:spPr>
        <a:xfrm>
          <a:off x="3362325" y="4095750"/>
          <a:ext cx="866775" cy="762000"/>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60"/>
  <sheetViews>
    <sheetView topLeftCell="A16" zoomScaleNormal="100" zoomScaleSheetLayoutView="75" workbookViewId="0">
      <selection activeCell="A50" sqref="A50"/>
    </sheetView>
  </sheetViews>
  <sheetFormatPr defaultColWidth="8.88671875" defaultRowHeight="13.5"/>
  <cols>
    <col min="1" max="1" width="18.6640625" bestFit="1" customWidth="1"/>
    <col min="2" max="2" width="22.21875" customWidth="1"/>
  </cols>
  <sheetData>
    <row r="1" spans="1:2">
      <c r="A1" t="s">
        <v>154</v>
      </c>
    </row>
    <row r="2" spans="1:2">
      <c r="A2" t="s">
        <v>636</v>
      </c>
    </row>
    <row r="3" spans="1:2">
      <c r="A3" t="s">
        <v>627</v>
      </c>
      <c r="B3" t="s">
        <v>890</v>
      </c>
    </row>
    <row r="4" spans="1:2">
      <c r="A4" t="s">
        <v>532</v>
      </c>
    </row>
    <row r="5" spans="1:2">
      <c r="A5" t="s">
        <v>157</v>
      </c>
    </row>
    <row r="6" spans="1:2">
      <c r="A6" t="s">
        <v>158</v>
      </c>
    </row>
    <row r="7" spans="1:2">
      <c r="A7" t="s">
        <v>628</v>
      </c>
    </row>
    <row r="8" spans="1:2">
      <c r="A8" t="s">
        <v>163</v>
      </c>
      <c r="B8" t="s">
        <v>891</v>
      </c>
    </row>
    <row r="9" spans="1:2">
      <c r="A9" t="s">
        <v>643</v>
      </c>
    </row>
    <row r="10" spans="1:2">
      <c r="A10" t="s">
        <v>667</v>
      </c>
      <c r="B10" s="254"/>
    </row>
    <row r="11" spans="1:2">
      <c r="A11" t="s">
        <v>172</v>
      </c>
    </row>
    <row r="12" spans="1:2">
      <c r="A12" t="s">
        <v>645</v>
      </c>
    </row>
    <row r="13" spans="1:2">
      <c r="A13" t="s">
        <v>160</v>
      </c>
      <c r="B13">
        <v>55000000</v>
      </c>
    </row>
    <row r="14" spans="1:2">
      <c r="A14" t="s">
        <v>655</v>
      </c>
      <c r="B14">
        <v>60</v>
      </c>
    </row>
    <row r="15" spans="1:2">
      <c r="A15" t="s">
        <v>630</v>
      </c>
      <c r="B15" t="s">
        <v>892</v>
      </c>
    </row>
    <row r="16" spans="1:2">
      <c r="A16" t="s">
        <v>156</v>
      </c>
      <c r="B16" t="s">
        <v>893</v>
      </c>
    </row>
    <row r="17" spans="1:2">
      <c r="A17" t="s">
        <v>401</v>
      </c>
      <c r="B17">
        <v>50000000</v>
      </c>
    </row>
    <row r="18" spans="1:2">
      <c r="A18" t="s">
        <v>400</v>
      </c>
      <c r="B18">
        <v>8545000</v>
      </c>
    </row>
    <row r="19" spans="1:2">
      <c r="A19" t="s">
        <v>669</v>
      </c>
      <c r="B19">
        <v>3691000</v>
      </c>
    </row>
    <row r="20" spans="1:2">
      <c r="A20" t="s">
        <v>601</v>
      </c>
      <c r="B20">
        <v>1223600</v>
      </c>
    </row>
    <row r="21" spans="1:2">
      <c r="A21" t="s">
        <v>35</v>
      </c>
      <c r="B21">
        <v>13459600</v>
      </c>
    </row>
    <row r="22" spans="1:2">
      <c r="A22" t="s">
        <v>398</v>
      </c>
      <c r="B22" s="345" t="s">
        <v>434</v>
      </c>
    </row>
    <row r="23" spans="1:2">
      <c r="A23" t="s">
        <v>406</v>
      </c>
      <c r="B23">
        <v>1095</v>
      </c>
    </row>
    <row r="24" spans="1:2">
      <c r="A24" t="s">
        <v>403</v>
      </c>
      <c r="B24">
        <v>120</v>
      </c>
    </row>
    <row r="25" spans="1:2">
      <c r="A25" t="s">
        <v>399</v>
      </c>
      <c r="B25" t="s">
        <v>894</v>
      </c>
    </row>
    <row r="26" spans="1:2">
      <c r="A26" t="s">
        <v>159</v>
      </c>
      <c r="B26" t="s">
        <v>895</v>
      </c>
    </row>
    <row r="27" spans="1:2">
      <c r="A27" t="s">
        <v>166</v>
      </c>
      <c r="B27" t="s">
        <v>896</v>
      </c>
    </row>
    <row r="28" spans="1:2">
      <c r="A28" t="s">
        <v>409</v>
      </c>
      <c r="B28" t="s">
        <v>897</v>
      </c>
    </row>
    <row r="29" spans="1:2">
      <c r="A29" t="s">
        <v>396</v>
      </c>
      <c r="B29" t="s">
        <v>890</v>
      </c>
    </row>
    <row r="30" spans="1:2">
      <c r="A30" t="s">
        <v>397</v>
      </c>
      <c r="B30" t="s">
        <v>898</v>
      </c>
    </row>
    <row r="31" spans="1:2">
      <c r="A31" t="s">
        <v>395</v>
      </c>
      <c r="B31" t="s">
        <v>899</v>
      </c>
    </row>
    <row r="32" spans="1:2">
      <c r="A32" t="s">
        <v>404</v>
      </c>
      <c r="B32" t="s">
        <v>900</v>
      </c>
    </row>
    <row r="33" spans="1:2">
      <c r="A33" t="s">
        <v>420</v>
      </c>
      <c r="B33" t="s">
        <v>900</v>
      </c>
    </row>
    <row r="34" spans="1:2">
      <c r="A34" t="s">
        <v>411</v>
      </c>
      <c r="B34" t="s">
        <v>901</v>
      </c>
    </row>
    <row r="35" spans="1:2">
      <c r="A35" t="s">
        <v>410</v>
      </c>
      <c r="B35" t="s">
        <v>902</v>
      </c>
    </row>
    <row r="36" spans="1:2">
      <c r="A36" t="s">
        <v>416</v>
      </c>
      <c r="B36" t="s">
        <v>903</v>
      </c>
    </row>
    <row r="37" spans="1:2">
      <c r="A37" t="s">
        <v>402</v>
      </c>
      <c r="B37" t="s">
        <v>904</v>
      </c>
    </row>
    <row r="38" spans="1:2">
      <c r="A38" t="s">
        <v>394</v>
      </c>
      <c r="B38" t="s">
        <v>905</v>
      </c>
    </row>
    <row r="39" spans="1:2">
      <c r="A39" t="s">
        <v>419</v>
      </c>
      <c r="B39" t="s">
        <v>906</v>
      </c>
    </row>
    <row r="40" spans="1:2">
      <c r="A40" t="s">
        <v>414</v>
      </c>
      <c r="B40" t="s">
        <v>907</v>
      </c>
    </row>
    <row r="41" spans="1:2">
      <c r="A41" t="s">
        <v>639</v>
      </c>
      <c r="B41" t="s">
        <v>908</v>
      </c>
    </row>
    <row r="42" spans="1:2">
      <c r="A42" t="s">
        <v>407</v>
      </c>
      <c r="B42" t="s">
        <v>909</v>
      </c>
    </row>
    <row r="43" spans="1:2">
      <c r="A43" t="s">
        <v>413</v>
      </c>
      <c r="B43" t="s">
        <v>910</v>
      </c>
    </row>
    <row r="44" spans="1:2">
      <c r="A44" t="s">
        <v>412</v>
      </c>
      <c r="B44" t="s">
        <v>911</v>
      </c>
    </row>
    <row r="45" spans="1:2">
      <c r="A45" t="s">
        <v>421</v>
      </c>
      <c r="B45" t="s">
        <v>912</v>
      </c>
    </row>
    <row r="46" spans="1:2">
      <c r="A46" t="s">
        <v>405</v>
      </c>
      <c r="B46" t="s">
        <v>913</v>
      </c>
    </row>
    <row r="47" spans="1:2">
      <c r="A47" t="s">
        <v>418</v>
      </c>
      <c r="B47" t="s">
        <v>914</v>
      </c>
    </row>
    <row r="48" spans="1:2">
      <c r="A48" t="s">
        <v>417</v>
      </c>
      <c r="B48" t="s">
        <v>915</v>
      </c>
    </row>
    <row r="49" spans="1:2">
      <c r="A49" t="s">
        <v>422</v>
      </c>
      <c r="B49" t="s">
        <v>916</v>
      </c>
    </row>
    <row r="50" spans="1:2">
      <c r="A50" t="s">
        <v>415</v>
      </c>
      <c r="B50" t="s">
        <v>917</v>
      </c>
    </row>
    <row r="51" spans="1:2">
      <c r="A51" t="s">
        <v>427</v>
      </c>
    </row>
    <row r="52" spans="1:2">
      <c r="A52" t="s">
        <v>425</v>
      </c>
      <c r="B52" s="285" t="s">
        <v>918</v>
      </c>
    </row>
    <row r="53" spans="1:2">
      <c r="A53" t="s">
        <v>646</v>
      </c>
      <c r="B53" t="s">
        <v>919</v>
      </c>
    </row>
    <row r="54" spans="1:2">
      <c r="A54" t="s">
        <v>785</v>
      </c>
      <c r="B54" t="s">
        <v>900</v>
      </c>
    </row>
    <row r="55" spans="1:2">
      <c r="A55" t="s">
        <v>111</v>
      </c>
      <c r="B55" t="s">
        <v>920</v>
      </c>
    </row>
    <row r="56" spans="1:2">
      <c r="A56" t="s">
        <v>786</v>
      </c>
      <c r="B56" t="s">
        <v>921</v>
      </c>
    </row>
    <row r="57" spans="1:2">
      <c r="A57" t="s">
        <v>510</v>
      </c>
      <c r="B57" t="s">
        <v>922</v>
      </c>
    </row>
    <row r="58" spans="1:2">
      <c r="A58" t="s">
        <v>771</v>
      </c>
      <c r="B58" s="345" t="s">
        <v>147</v>
      </c>
    </row>
    <row r="59" spans="1:2">
      <c r="A59" t="s">
        <v>503</v>
      </c>
      <c r="B59">
        <v>0.3</v>
      </c>
    </row>
    <row r="60" spans="1:2">
      <c r="A60" t="s">
        <v>511</v>
      </c>
      <c r="B60">
        <v>0.5</v>
      </c>
    </row>
  </sheetData>
  <phoneticPr fontId="87" type="noConversion"/>
  <pageMargins left="0.69986110925674438" right="0.69986110925674438" top="0.75" bottom="0.75" header="0.30000001192092896" footer="0.30000001192092896"/>
  <pageSetup paperSize="9" fitToWidth="0" fitToHeight="0"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H18"/>
  <sheetViews>
    <sheetView view="pageBreakPreview" zoomScaleNormal="100" zoomScaleSheetLayoutView="100" workbookViewId="0">
      <selection activeCell="AM13" sqref="AM13"/>
    </sheetView>
  </sheetViews>
  <sheetFormatPr defaultColWidth="8.88671875" defaultRowHeight="13.5"/>
  <cols>
    <col min="1" max="6" width="3.33203125" customWidth="1"/>
    <col min="7" max="7" width="2.6640625" customWidth="1"/>
    <col min="8" max="34" width="3.33203125" customWidth="1"/>
  </cols>
  <sheetData>
    <row r="1" spans="1:34">
      <c r="A1" s="487"/>
      <c r="B1" s="488"/>
      <c r="C1" s="488"/>
      <c r="D1" s="488"/>
      <c r="E1" s="480"/>
      <c r="F1" s="480"/>
      <c r="G1" s="480"/>
      <c r="H1" s="480"/>
      <c r="I1" s="480"/>
      <c r="J1" s="480"/>
      <c r="K1" s="480"/>
      <c r="L1" s="480"/>
      <c r="M1" s="480"/>
      <c r="N1" s="480"/>
      <c r="O1" s="480"/>
      <c r="P1" s="480"/>
      <c r="Q1" s="480"/>
      <c r="R1" s="480"/>
      <c r="S1" s="480"/>
      <c r="T1" s="480"/>
      <c r="U1" s="480"/>
      <c r="V1" s="480"/>
      <c r="W1" s="480"/>
      <c r="X1" s="480"/>
      <c r="Y1" s="480"/>
      <c r="Z1" s="480"/>
      <c r="AA1" s="480"/>
      <c r="AB1" s="480"/>
      <c r="AC1" s="480"/>
      <c r="AD1" s="480"/>
      <c r="AE1" s="482"/>
      <c r="AF1" s="482"/>
      <c r="AG1" s="482"/>
      <c r="AH1" s="483"/>
    </row>
    <row r="2" spans="1:34">
      <c r="A2" s="489"/>
      <c r="B2" s="490"/>
      <c r="C2" s="490"/>
      <c r="D2" s="490"/>
      <c r="E2" s="481"/>
      <c r="F2" s="481"/>
      <c r="G2" s="481"/>
      <c r="H2" s="481"/>
      <c r="I2" s="481"/>
      <c r="J2" s="481"/>
      <c r="K2" s="481"/>
      <c r="L2" s="481"/>
      <c r="M2" s="481"/>
      <c r="N2" s="481"/>
      <c r="O2" s="481"/>
      <c r="P2" s="481"/>
      <c r="Q2" s="481"/>
      <c r="R2" s="481"/>
      <c r="S2" s="481"/>
      <c r="T2" s="481"/>
      <c r="U2" s="481"/>
      <c r="V2" s="481"/>
      <c r="W2" s="481"/>
      <c r="X2" s="481"/>
      <c r="Y2" s="481"/>
      <c r="Z2" s="481"/>
      <c r="AA2" s="481"/>
      <c r="AB2" s="481"/>
      <c r="AC2" s="481"/>
      <c r="AD2" s="481"/>
      <c r="AE2" s="484"/>
      <c r="AF2" s="484"/>
      <c r="AG2" s="484"/>
      <c r="AH2" s="485"/>
    </row>
    <row r="3" spans="1:34">
      <c r="A3" s="55"/>
      <c r="B3" s="56"/>
      <c r="C3" s="56"/>
      <c r="D3" s="56"/>
      <c r="E3" s="56"/>
      <c r="F3" s="56"/>
      <c r="G3" s="56"/>
      <c r="H3" s="56"/>
      <c r="I3" s="56"/>
      <c r="J3" s="57"/>
      <c r="K3" s="57"/>
      <c r="L3" s="57"/>
      <c r="M3" s="57"/>
      <c r="N3" s="57"/>
      <c r="O3" s="56"/>
      <c r="P3" s="56"/>
      <c r="Q3" s="56"/>
      <c r="R3" s="56"/>
      <c r="S3" s="56"/>
      <c r="T3" s="56"/>
      <c r="U3" s="56"/>
      <c r="V3" s="56"/>
      <c r="W3" s="56"/>
      <c r="X3" s="56"/>
      <c r="Y3" s="56"/>
      <c r="Z3" s="56"/>
      <c r="AA3" s="56"/>
      <c r="AB3" s="56"/>
      <c r="AC3" s="56"/>
      <c r="AD3" s="56"/>
      <c r="AE3" s="56"/>
      <c r="AF3" s="56"/>
      <c r="AG3" s="58"/>
      <c r="AH3" s="59"/>
    </row>
    <row r="4" spans="1:34" ht="18.75">
      <c r="A4" s="55"/>
      <c r="B4" s="56"/>
      <c r="C4" s="56"/>
      <c r="D4" s="486" t="str">
        <f>VLOOKUP("ccmaName",data!$A$1:$B$270,2,0)</f>
        <v>사적</v>
      </c>
      <c r="E4" s="486"/>
      <c r="F4" s="486"/>
      <c r="G4" s="486"/>
      <c r="H4" s="486"/>
      <c r="I4" s="486"/>
      <c r="J4" s="486"/>
      <c r="K4" s="486"/>
      <c r="L4" s="486"/>
      <c r="M4" s="56"/>
      <c r="N4" s="56"/>
      <c r="O4" s="56"/>
      <c r="P4" s="56"/>
      <c r="Q4" s="56"/>
      <c r="R4" s="56"/>
      <c r="S4" s="56"/>
      <c r="T4" s="56"/>
      <c r="U4" s="56"/>
      <c r="V4" s="56"/>
      <c r="W4" s="56"/>
      <c r="X4" s="56"/>
      <c r="Y4" s="56"/>
      <c r="Z4" s="56"/>
      <c r="AA4" s="56"/>
      <c r="AB4" s="56"/>
      <c r="AC4" s="56"/>
      <c r="AD4" s="56"/>
      <c r="AE4" s="56"/>
      <c r="AF4" s="56"/>
      <c r="AG4" s="60"/>
      <c r="AH4" s="59"/>
    </row>
    <row r="5" spans="1:34" ht="33.75" customHeight="1">
      <c r="A5" s="474" t="str">
        <f>VLOOKUP("용역명",data!$A$1:$B$270,2,0)</f>
        <v>ㅇㅇㅇㅇㅇㅇㅇㅇㅇ</v>
      </c>
      <c r="B5" s="475"/>
      <c r="C5" s="475"/>
      <c r="D5" s="475"/>
      <c r="E5" s="475"/>
      <c r="F5" s="475"/>
      <c r="G5" s="475"/>
      <c r="H5" s="475"/>
      <c r="I5" s="475"/>
      <c r="J5" s="475"/>
      <c r="K5" s="475"/>
      <c r="L5" s="475"/>
      <c r="M5" s="475"/>
      <c r="N5" s="475"/>
      <c r="O5" s="475"/>
      <c r="P5" s="475"/>
      <c r="Q5" s="475"/>
      <c r="R5" s="475"/>
      <c r="S5" s="475"/>
      <c r="T5" s="475"/>
      <c r="U5" s="475"/>
      <c r="V5" s="475"/>
      <c r="W5" s="475"/>
      <c r="X5" s="475"/>
      <c r="Y5" s="475"/>
      <c r="Z5" s="475"/>
      <c r="AA5" s="475"/>
      <c r="AB5" s="475"/>
      <c r="AC5" s="475"/>
      <c r="AD5" s="475"/>
      <c r="AE5" s="475"/>
      <c r="AF5" s="475"/>
      <c r="AG5" s="475"/>
      <c r="AH5" s="476"/>
    </row>
    <row r="6" spans="1:34" ht="33.75">
      <c r="A6" s="477" t="s">
        <v>460</v>
      </c>
      <c r="B6" s="478"/>
      <c r="C6" s="478"/>
      <c r="D6" s="478"/>
      <c r="E6" s="478"/>
      <c r="F6" s="478"/>
      <c r="G6" s="478"/>
      <c r="H6" s="478"/>
      <c r="I6" s="478"/>
      <c r="J6" s="478"/>
      <c r="K6" s="478"/>
      <c r="L6" s="478"/>
      <c r="M6" s="478"/>
      <c r="N6" s="478"/>
      <c r="O6" s="478"/>
      <c r="P6" s="478"/>
      <c r="Q6" s="478"/>
      <c r="R6" s="478"/>
      <c r="S6" s="478"/>
      <c r="T6" s="478"/>
      <c r="U6" s="478"/>
      <c r="V6" s="478"/>
      <c r="W6" s="478"/>
      <c r="X6" s="478"/>
      <c r="Y6" s="478"/>
      <c r="Z6" s="478"/>
      <c r="AA6" s="478"/>
      <c r="AB6" s="478"/>
      <c r="AC6" s="478"/>
      <c r="AD6" s="478"/>
      <c r="AE6" s="478"/>
      <c r="AF6" s="478"/>
      <c r="AG6" s="478"/>
      <c r="AH6" s="479"/>
    </row>
    <row r="7" spans="1:34" ht="25.5">
      <c r="A7" s="55"/>
      <c r="B7" s="56"/>
      <c r="C7" s="56"/>
      <c r="D7" s="56"/>
      <c r="E7" s="56"/>
      <c r="F7" s="56"/>
      <c r="G7" s="56"/>
      <c r="H7" s="56"/>
      <c r="I7" s="56"/>
      <c r="J7" s="56"/>
      <c r="K7" s="56"/>
      <c r="L7" s="56"/>
      <c r="M7" s="63"/>
      <c r="N7" s="63"/>
      <c r="O7" s="63"/>
      <c r="P7" s="63"/>
      <c r="Q7" s="63"/>
      <c r="R7" s="63"/>
      <c r="S7" s="63"/>
      <c r="T7" s="56"/>
      <c r="U7" s="56"/>
      <c r="V7" s="64"/>
      <c r="W7" s="56"/>
      <c r="X7" s="56"/>
      <c r="Y7" s="56"/>
      <c r="Z7" s="56"/>
      <c r="AA7" s="56"/>
      <c r="AB7" s="56"/>
      <c r="AC7" s="56"/>
      <c r="AD7" s="56"/>
      <c r="AE7" s="56"/>
      <c r="AF7" s="56"/>
      <c r="AG7" s="56"/>
      <c r="AH7" s="59"/>
    </row>
    <row r="8" spans="1:34" ht="25.5">
      <c r="A8" s="55"/>
      <c r="B8" s="56"/>
      <c r="C8" s="56"/>
      <c r="D8" s="56"/>
      <c r="E8" s="56"/>
      <c r="F8" s="56"/>
      <c r="G8" s="56"/>
      <c r="H8" s="56"/>
      <c r="I8" s="56"/>
      <c r="J8" s="56"/>
      <c r="K8" s="56"/>
      <c r="L8" s="56"/>
      <c r="M8" s="63"/>
      <c r="N8" s="63"/>
      <c r="O8" s="63"/>
      <c r="P8" s="63"/>
      <c r="Q8" s="63"/>
      <c r="R8" s="63"/>
      <c r="S8" s="63"/>
      <c r="T8" s="56"/>
      <c r="U8" s="56"/>
      <c r="V8" s="56"/>
      <c r="W8" s="56"/>
      <c r="X8" s="56"/>
      <c r="Y8" s="56"/>
      <c r="Z8" s="56"/>
      <c r="AA8" s="56"/>
      <c r="AB8" s="56"/>
      <c r="AC8" s="56"/>
      <c r="AD8" s="56"/>
      <c r="AE8" s="56"/>
      <c r="AF8" s="56"/>
      <c r="AG8" s="56"/>
      <c r="AH8" s="59"/>
    </row>
    <row r="9" spans="1:34" ht="21.75">
      <c r="A9" s="65"/>
      <c r="B9" s="66"/>
      <c r="C9" s="66"/>
      <c r="D9" s="67"/>
      <c r="E9" s="257"/>
      <c r="F9" s="257"/>
      <c r="G9" s="257"/>
      <c r="H9" s="257"/>
      <c r="I9" s="257"/>
      <c r="J9" s="257"/>
      <c r="K9" s="67"/>
      <c r="L9" s="68"/>
      <c r="M9" s="68"/>
      <c r="N9" s="68"/>
      <c r="O9" s="68"/>
      <c r="P9" s="68"/>
      <c r="Q9" s="68"/>
      <c r="R9" s="68"/>
      <c r="S9" s="68"/>
      <c r="T9" s="68"/>
      <c r="U9" s="68"/>
      <c r="V9" s="68"/>
      <c r="W9" s="68"/>
      <c r="X9" s="68"/>
      <c r="Y9" s="68"/>
      <c r="Z9" s="68"/>
      <c r="AA9" s="69"/>
      <c r="AB9" s="69"/>
      <c r="AC9" s="69"/>
      <c r="AD9" s="69"/>
      <c r="AE9" s="66"/>
      <c r="AF9" s="66"/>
      <c r="AG9" s="66"/>
      <c r="AH9" s="70"/>
    </row>
    <row r="10" spans="1:34" ht="16.5">
      <c r="A10" s="71"/>
      <c r="B10" s="72"/>
      <c r="C10" s="72"/>
      <c r="D10" s="72"/>
      <c r="E10" s="73"/>
      <c r="F10" s="72"/>
      <c r="G10" s="72"/>
      <c r="H10" s="72"/>
      <c r="I10" s="72"/>
      <c r="J10" s="72"/>
      <c r="K10" s="72"/>
      <c r="L10" s="72"/>
      <c r="M10" s="73"/>
      <c r="N10" s="72"/>
      <c r="O10" s="72"/>
      <c r="P10" s="74"/>
      <c r="Q10" s="74"/>
      <c r="R10" s="74"/>
      <c r="S10" s="74"/>
      <c r="T10" s="75"/>
      <c r="U10" s="75"/>
      <c r="V10" s="75"/>
      <c r="W10" s="76"/>
      <c r="X10" s="76"/>
      <c r="Y10" s="253"/>
      <c r="Z10" s="76"/>
      <c r="AA10" s="74"/>
      <c r="AB10" s="77"/>
      <c r="AC10" s="77"/>
      <c r="AD10" s="77"/>
      <c r="AE10" s="72"/>
      <c r="AF10" s="72"/>
      <c r="AG10" s="72"/>
      <c r="AH10" s="78"/>
    </row>
    <row r="11" spans="1:34" ht="16.5">
      <c r="A11" s="71"/>
      <c r="B11" s="72"/>
      <c r="C11" s="72"/>
      <c r="D11" s="72"/>
      <c r="E11" s="73"/>
      <c r="F11" s="72"/>
      <c r="G11" s="72"/>
      <c r="H11" s="72"/>
      <c r="I11" s="72"/>
      <c r="J11" s="72"/>
      <c r="K11" s="72"/>
      <c r="L11" s="72"/>
      <c r="M11" s="73"/>
      <c r="N11" s="72"/>
      <c r="O11" s="72"/>
      <c r="P11" s="74"/>
      <c r="Q11" s="74"/>
      <c r="R11" s="74"/>
      <c r="S11" s="74"/>
      <c r="T11" s="75"/>
      <c r="U11" s="75"/>
      <c r="V11" s="75"/>
      <c r="W11" s="76"/>
      <c r="X11" s="76"/>
      <c r="Y11" s="76"/>
      <c r="Z11" s="76"/>
      <c r="AA11" s="74"/>
      <c r="AB11" s="77"/>
      <c r="AC11" s="77"/>
      <c r="AD11" s="77"/>
      <c r="AE11" s="72"/>
      <c r="AF11" s="72"/>
      <c r="AG11" s="72"/>
      <c r="AH11" s="78"/>
    </row>
    <row r="12" spans="1:34" ht="16.5">
      <c r="A12" s="79"/>
      <c r="B12" s="54"/>
      <c r="C12" s="54"/>
      <c r="D12" s="54"/>
      <c r="E12" s="80"/>
      <c r="F12" s="256"/>
      <c r="G12" s="256"/>
      <c r="H12" s="256"/>
      <c r="I12" s="256"/>
      <c r="J12" s="256"/>
      <c r="K12" s="256"/>
      <c r="L12" s="256"/>
      <c r="M12" s="73"/>
      <c r="N12" s="72"/>
      <c r="O12" s="72"/>
      <c r="P12" s="473" t="str">
        <f>TEXT(DATE(LEFT(VLOOKUP("설계용역시행연월",data!$A$1:$B$270,2,0),4),RIGHT(VLOOKUP("설계용역시행연월",data!$A$1:$B$270,2,0),2),0),"yyyy.mm.")</f>
        <v>2025.10.</v>
      </c>
      <c r="Q12" s="473"/>
      <c r="R12" s="473"/>
      <c r="S12" s="473"/>
      <c r="T12" s="82"/>
      <c r="U12" s="82"/>
      <c r="V12" s="82"/>
      <c r="W12" s="83"/>
      <c r="X12" s="83"/>
      <c r="Y12" s="83"/>
      <c r="Z12" s="83"/>
      <c r="AA12" s="81"/>
      <c r="AB12" s="84"/>
      <c r="AC12" s="84"/>
      <c r="AD12" s="84"/>
      <c r="AE12" s="54"/>
      <c r="AF12" s="54"/>
      <c r="AG12" s="54"/>
      <c r="AH12" s="85"/>
    </row>
    <row r="13" spans="1:34" ht="18.75">
      <c r="A13" s="65"/>
      <c r="B13" s="66"/>
      <c r="C13" s="66"/>
      <c r="D13" s="86"/>
      <c r="E13" s="87"/>
      <c r="F13" s="87"/>
      <c r="G13" s="87"/>
      <c r="H13" s="87"/>
      <c r="I13" s="87"/>
      <c r="J13" s="87"/>
      <c r="K13" s="87"/>
      <c r="L13" s="87"/>
      <c r="M13" s="87"/>
      <c r="N13" s="87"/>
      <c r="O13" s="87"/>
      <c r="P13" s="88"/>
      <c r="Q13" s="88"/>
      <c r="R13" s="88"/>
      <c r="S13" s="88"/>
      <c r="T13" s="89"/>
      <c r="U13" s="89"/>
      <c r="V13" s="89"/>
      <c r="W13" s="89"/>
      <c r="X13" s="89"/>
      <c r="Y13" s="90"/>
      <c r="Z13" s="69"/>
      <c r="AA13" s="69"/>
      <c r="AB13" s="69"/>
      <c r="AC13" s="69"/>
      <c r="AD13" s="69"/>
      <c r="AE13" s="66"/>
      <c r="AF13" s="66"/>
      <c r="AG13" s="66"/>
      <c r="AH13" s="70"/>
    </row>
    <row r="14" spans="1:34" ht="21.75">
      <c r="A14" s="65"/>
      <c r="B14" s="66"/>
      <c r="C14" s="66"/>
      <c r="D14" s="67"/>
      <c r="E14" s="257"/>
      <c r="F14" s="257"/>
      <c r="G14" s="257"/>
      <c r="H14" s="257"/>
      <c r="I14" s="257"/>
      <c r="J14" s="257"/>
      <c r="K14" s="258"/>
      <c r="L14" s="258"/>
      <c r="M14" s="258"/>
      <c r="N14" s="258"/>
      <c r="O14" s="258"/>
      <c r="P14" s="258"/>
      <c r="Q14" s="258"/>
      <c r="R14" s="258"/>
      <c r="S14" s="258"/>
      <c r="T14" s="258"/>
      <c r="U14" s="258"/>
      <c r="V14" s="259"/>
      <c r="W14" s="259"/>
      <c r="X14" s="259"/>
      <c r="Y14" s="259"/>
      <c r="Z14" s="259"/>
      <c r="AA14" s="259"/>
      <c r="AB14" s="91"/>
      <c r="AC14" s="91"/>
      <c r="AD14" s="91"/>
      <c r="AE14" s="91"/>
      <c r="AF14" s="92"/>
      <c r="AG14" s="66"/>
      <c r="AH14" s="70"/>
    </row>
    <row r="15" spans="1:34" ht="18.75">
      <c r="A15" s="65"/>
      <c r="B15" s="66"/>
      <c r="C15" s="66"/>
      <c r="D15" s="67"/>
      <c r="E15" s="93"/>
      <c r="F15" s="93"/>
      <c r="G15" s="93"/>
      <c r="H15" s="88"/>
      <c r="I15" s="88"/>
      <c r="J15" s="88"/>
      <c r="K15" s="67"/>
      <c r="L15" s="93"/>
      <c r="M15" s="93"/>
      <c r="N15" s="93"/>
      <c r="O15" s="88"/>
      <c r="P15" s="88"/>
      <c r="Q15" s="88"/>
      <c r="R15" s="88"/>
      <c r="S15" s="88"/>
      <c r="T15" s="88"/>
      <c r="U15" s="88"/>
      <c r="V15" s="88"/>
      <c r="W15" s="88"/>
      <c r="X15" s="88"/>
      <c r="Y15" s="88"/>
      <c r="Z15" s="92"/>
      <c r="AA15" s="92"/>
      <c r="AB15" s="92"/>
      <c r="AC15" s="92"/>
      <c r="AD15" s="92"/>
      <c r="AE15" s="92"/>
      <c r="AF15" s="92"/>
      <c r="AG15" s="66"/>
      <c r="AH15" s="70"/>
    </row>
    <row r="16" spans="1:34" ht="14.25">
      <c r="A16" s="55"/>
      <c r="B16" s="56"/>
      <c r="C16" s="56"/>
      <c r="D16" s="94"/>
      <c r="E16" s="57"/>
      <c r="F16" s="56"/>
      <c r="G16" s="56"/>
      <c r="H16" s="95"/>
      <c r="I16" s="95"/>
      <c r="J16" s="96"/>
      <c r="K16" s="96"/>
      <c r="L16" s="96"/>
      <c r="M16" s="96"/>
      <c r="N16" s="96"/>
      <c r="O16" s="96"/>
      <c r="P16" s="96"/>
      <c r="Q16" s="96"/>
      <c r="R16" s="96"/>
      <c r="S16" s="96"/>
      <c r="T16" s="97"/>
      <c r="U16" s="97"/>
      <c r="V16" s="97"/>
      <c r="W16" s="97"/>
      <c r="X16" s="97"/>
      <c r="Y16" s="98"/>
      <c r="Z16" s="99"/>
      <c r="AA16" s="100"/>
      <c r="AB16" s="100"/>
      <c r="AC16" s="100"/>
      <c r="AD16" s="100"/>
      <c r="AE16" s="56"/>
      <c r="AF16" s="56"/>
      <c r="AG16" s="56"/>
      <c r="AH16" s="59"/>
    </row>
    <row r="17" spans="1:34" ht="60" customHeight="1">
      <c r="A17" s="55"/>
      <c r="B17" s="56"/>
      <c r="C17" s="56"/>
      <c r="D17" s="56"/>
      <c r="E17" s="56"/>
      <c r="F17" s="56"/>
      <c r="G17" s="56"/>
      <c r="H17" s="56"/>
      <c r="J17" s="255"/>
      <c r="K17" s="255"/>
      <c r="L17" s="255"/>
      <c r="M17" s="472"/>
      <c r="N17" s="472"/>
      <c r="O17" s="472"/>
      <c r="P17" s="255" t="str">
        <f>VLOOKUP("지자체명",data!$A$1:$B$270,2,0)&amp;"("&amp;VLOOKUP("부서명",data!$A$1:$B$270,2,0)&amp;")"</f>
        <v>보령시(관광과)</v>
      </c>
      <c r="R17" s="255"/>
      <c r="S17" s="255"/>
      <c r="T17" s="255"/>
      <c r="U17" s="255"/>
      <c r="V17" s="255"/>
      <c r="W17" s="255"/>
      <c r="X17" s="255"/>
      <c r="Y17" s="56"/>
      <c r="Z17" s="56"/>
      <c r="AA17" s="56"/>
      <c r="AB17" s="56"/>
      <c r="AC17" s="56"/>
      <c r="AD17" s="56"/>
      <c r="AE17" s="56"/>
      <c r="AF17" s="56"/>
      <c r="AG17" s="56"/>
      <c r="AH17" s="59"/>
    </row>
    <row r="18" spans="1:34" ht="45" customHeight="1">
      <c r="A18" s="101"/>
      <c r="B18" s="102"/>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3"/>
    </row>
  </sheetData>
  <mergeCells count="16">
    <mergeCell ref="M17:O17"/>
    <mergeCell ref="P12:S12"/>
    <mergeCell ref="A5:AH5"/>
    <mergeCell ref="A6:AH6"/>
    <mergeCell ref="S1:V2"/>
    <mergeCell ref="W1:X2"/>
    <mergeCell ref="Y1:AB2"/>
    <mergeCell ref="AC1:AD2"/>
    <mergeCell ref="AE1:AH2"/>
    <mergeCell ref="D4:L4"/>
    <mergeCell ref="A1:D2"/>
    <mergeCell ref="E1:F2"/>
    <mergeCell ref="G1:J2"/>
    <mergeCell ref="K1:L2"/>
    <mergeCell ref="M1:P2"/>
    <mergeCell ref="Q1:R2"/>
  </mergeCells>
  <phoneticPr fontId="87" type="noConversion"/>
  <pageMargins left="0.69986110925674438" right="0.69986110925674438" top="0.75" bottom="0.75" header="0.30000001192092896" footer="0.30000001192092896"/>
  <pageSetup paperSize="9" scale="6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FF"/>
  </sheetPr>
  <dimension ref="A1:AH22"/>
  <sheetViews>
    <sheetView view="pageBreakPreview" zoomScaleNormal="100" zoomScaleSheetLayoutView="100" workbookViewId="0">
      <selection activeCell="M10" sqref="M10"/>
    </sheetView>
  </sheetViews>
  <sheetFormatPr defaultColWidth="8.88671875" defaultRowHeight="15" customHeight="1"/>
  <cols>
    <col min="1" max="6" width="3.33203125" style="56" customWidth="1"/>
    <col min="7" max="7" width="2.6640625" style="56" customWidth="1"/>
    <col min="8" max="34" width="3.33203125" style="56" customWidth="1"/>
    <col min="35" max="35" width="3.109375" style="56" customWidth="1"/>
    <col min="36" max="47" width="3.33203125" style="56" customWidth="1"/>
    <col min="48" max="61" width="2.77734375" style="56" customWidth="1"/>
    <col min="62" max="16384" width="8.88671875" style="56"/>
  </cols>
  <sheetData>
    <row r="1" spans="1:34" s="53" customFormat="1" ht="40.5" customHeight="1">
      <c r="A1" s="494" t="str">
        <f>TEXT(DATE(LEFT(VLOOKUP("설계용역시행연월",data!$A$1:$B$270,2,0),4),RIGHT(VLOOKUP("설계용역시행연월",data!$A$1:$B$270,2,0),2),0),"yyyy년 mm월")</f>
        <v>2025년 10월</v>
      </c>
      <c r="B1" s="495"/>
      <c r="C1" s="495"/>
      <c r="D1" s="496"/>
      <c r="E1" s="500" t="s">
        <v>162</v>
      </c>
      <c r="F1" s="500"/>
      <c r="G1" s="500"/>
      <c r="H1" s="500"/>
      <c r="I1" s="500"/>
      <c r="J1" s="500"/>
      <c r="K1" s="500" t="s">
        <v>528</v>
      </c>
      <c r="L1" s="500"/>
      <c r="M1" s="500"/>
      <c r="N1" s="500"/>
      <c r="O1" s="500"/>
      <c r="P1" s="500"/>
      <c r="Q1" s="500" t="s">
        <v>146</v>
      </c>
      <c r="R1" s="500"/>
      <c r="S1" s="500"/>
      <c r="T1" s="500"/>
      <c r="U1" s="500"/>
      <c r="V1" s="500"/>
      <c r="W1" s="500" t="s">
        <v>142</v>
      </c>
      <c r="X1" s="500"/>
      <c r="Y1" s="500"/>
      <c r="Z1" s="500"/>
      <c r="AA1" s="500"/>
      <c r="AB1" s="500"/>
      <c r="AC1" s="500"/>
      <c r="AD1" s="500"/>
      <c r="AE1" s="502"/>
      <c r="AF1" s="482"/>
      <c r="AG1" s="482"/>
      <c r="AH1" s="483"/>
    </row>
    <row r="2" spans="1:34" s="54" customFormat="1" ht="21.75" customHeight="1">
      <c r="A2" s="497"/>
      <c r="B2" s="498"/>
      <c r="C2" s="498"/>
      <c r="D2" s="499"/>
      <c r="E2" s="501"/>
      <c r="F2" s="501"/>
      <c r="G2" s="501"/>
      <c r="H2" s="501"/>
      <c r="I2" s="501"/>
      <c r="J2" s="501"/>
      <c r="K2" s="501"/>
      <c r="L2" s="501"/>
      <c r="M2" s="501"/>
      <c r="N2" s="501"/>
      <c r="O2" s="501"/>
      <c r="P2" s="501"/>
      <c r="Q2" s="501"/>
      <c r="R2" s="501"/>
      <c r="S2" s="501"/>
      <c r="T2" s="501"/>
      <c r="U2" s="501"/>
      <c r="V2" s="501"/>
      <c r="W2" s="501"/>
      <c r="X2" s="501"/>
      <c r="Y2" s="501"/>
      <c r="Z2" s="501"/>
      <c r="AA2" s="501"/>
      <c r="AB2" s="501"/>
      <c r="AC2" s="501"/>
      <c r="AD2" s="501"/>
      <c r="AE2" s="503"/>
      <c r="AF2" s="504"/>
      <c r="AG2" s="504"/>
      <c r="AH2" s="505"/>
    </row>
    <row r="3" spans="1:34" ht="20.100000000000001" customHeight="1">
      <c r="A3" s="55"/>
      <c r="J3" s="57"/>
      <c r="K3" s="57"/>
      <c r="L3" s="57"/>
      <c r="M3" s="57"/>
      <c r="N3" s="57"/>
      <c r="AG3" s="58"/>
      <c r="AH3" s="59"/>
    </row>
    <row r="4" spans="1:34" ht="12" customHeight="1">
      <c r="A4" s="55"/>
      <c r="AG4" s="60"/>
      <c r="AH4" s="59"/>
    </row>
    <row r="5" spans="1:34" s="61" customFormat="1" ht="39.950000000000003" customHeight="1">
      <c r="A5" s="491" t="str">
        <f>겉표지!A5</f>
        <v>ㅇㅇㅇㅇㅇㅇㅇㅇㅇ</v>
      </c>
      <c r="B5" s="492"/>
      <c r="C5" s="492"/>
      <c r="D5" s="492"/>
      <c r="E5" s="492"/>
      <c r="F5" s="492"/>
      <c r="G5" s="492"/>
      <c r="H5" s="492"/>
      <c r="I5" s="492"/>
      <c r="J5" s="492"/>
      <c r="K5" s="492"/>
      <c r="L5" s="492"/>
      <c r="M5" s="492"/>
      <c r="N5" s="492"/>
      <c r="O5" s="492"/>
      <c r="P5" s="492"/>
      <c r="Q5" s="492"/>
      <c r="R5" s="492"/>
      <c r="S5" s="492"/>
      <c r="T5" s="492"/>
      <c r="U5" s="492"/>
      <c r="V5" s="492"/>
      <c r="W5" s="492"/>
      <c r="X5" s="492"/>
      <c r="Y5" s="492"/>
      <c r="Z5" s="492"/>
      <c r="AA5" s="492"/>
      <c r="AB5" s="492"/>
      <c r="AC5" s="492"/>
      <c r="AD5" s="492"/>
      <c r="AE5" s="492"/>
      <c r="AF5" s="492"/>
      <c r="AG5" s="492"/>
      <c r="AH5" s="493"/>
    </row>
    <row r="6" spans="1:34" s="62" customFormat="1" ht="43.5" customHeight="1">
      <c r="A6" s="477" t="s">
        <v>460</v>
      </c>
      <c r="B6" s="478"/>
      <c r="C6" s="478"/>
      <c r="D6" s="478"/>
      <c r="E6" s="478"/>
      <c r="F6" s="478"/>
      <c r="G6" s="478"/>
      <c r="H6" s="478"/>
      <c r="I6" s="478"/>
      <c r="J6" s="478"/>
      <c r="K6" s="478"/>
      <c r="L6" s="478"/>
      <c r="M6" s="478"/>
      <c r="N6" s="478"/>
      <c r="O6" s="478"/>
      <c r="P6" s="478"/>
      <c r="Q6" s="478"/>
      <c r="R6" s="478"/>
      <c r="S6" s="478"/>
      <c r="T6" s="478"/>
      <c r="U6" s="478"/>
      <c r="V6" s="478"/>
      <c r="W6" s="478"/>
      <c r="X6" s="478"/>
      <c r="Y6" s="478"/>
      <c r="Z6" s="478"/>
      <c r="AA6" s="478"/>
      <c r="AB6" s="478"/>
      <c r="AC6" s="478"/>
      <c r="AD6" s="478"/>
      <c r="AE6" s="478"/>
      <c r="AF6" s="478"/>
      <c r="AG6" s="478"/>
      <c r="AH6" s="479"/>
    </row>
    <row r="7" spans="1:34" ht="15" customHeight="1">
      <c r="A7" s="55"/>
      <c r="M7" s="63"/>
      <c r="N7" s="63"/>
      <c r="O7" s="63"/>
      <c r="P7" s="63"/>
      <c r="Q7" s="63"/>
      <c r="R7" s="63"/>
      <c r="S7" s="63"/>
      <c r="V7" s="64"/>
      <c r="AH7" s="59"/>
    </row>
    <row r="8" spans="1:34" ht="20.25" customHeight="1">
      <c r="A8" s="55"/>
      <c r="M8" s="63"/>
      <c r="N8" s="63"/>
      <c r="O8" s="63"/>
      <c r="P8" s="63"/>
      <c r="Q8" s="63"/>
      <c r="R8" s="63"/>
      <c r="S8" s="63"/>
      <c r="AH8" s="59"/>
    </row>
    <row r="9" spans="1:34" s="66" customFormat="1" ht="26.25" customHeight="1">
      <c r="A9" s="65"/>
      <c r="D9" s="67"/>
      <c r="E9" s="509" t="s">
        <v>581</v>
      </c>
      <c r="F9" s="509"/>
      <c r="G9" s="509"/>
      <c r="H9" s="509"/>
      <c r="I9" s="509"/>
      <c r="J9" s="509"/>
      <c r="K9" s="67"/>
      <c r="L9" s="68"/>
      <c r="M9" s="68"/>
      <c r="N9" s="68"/>
      <c r="O9" s="68"/>
      <c r="P9" s="68"/>
      <c r="Q9" s="68"/>
      <c r="R9" s="68"/>
      <c r="S9" s="68"/>
      <c r="T9" s="68"/>
      <c r="U9" s="68"/>
      <c r="V9" s="68"/>
      <c r="W9" s="68"/>
      <c r="X9" s="68"/>
      <c r="Y9" s="68"/>
      <c r="Z9" s="68"/>
      <c r="AA9" s="69"/>
      <c r="AB9" s="69"/>
      <c r="AC9" s="69"/>
      <c r="AD9" s="69"/>
      <c r="AH9" s="70"/>
    </row>
    <row r="10" spans="1:34" s="72" customFormat="1" ht="27.75" customHeight="1">
      <c r="A10" s="71"/>
      <c r="E10" s="73"/>
      <c r="F10" s="510" t="s">
        <v>574</v>
      </c>
      <c r="G10" s="510"/>
      <c r="H10" s="510"/>
      <c r="I10" s="510"/>
      <c r="J10" s="510"/>
      <c r="K10" s="510"/>
      <c r="L10" s="510"/>
      <c r="M10" s="73"/>
      <c r="N10" s="511">
        <v>1</v>
      </c>
      <c r="O10" s="511"/>
      <c r="P10" s="74" t="s">
        <v>527</v>
      </c>
      <c r="Q10" s="74"/>
      <c r="R10" s="74"/>
      <c r="S10" s="74"/>
      <c r="T10" s="75"/>
      <c r="U10" s="75"/>
      <c r="V10" s="75"/>
      <c r="W10" s="76"/>
      <c r="X10" s="76"/>
      <c r="Y10" s="253"/>
      <c r="Z10" s="76"/>
      <c r="AA10" s="74"/>
      <c r="AB10" s="77"/>
      <c r="AC10" s="77"/>
      <c r="AD10" s="77"/>
      <c r="AH10" s="78"/>
    </row>
    <row r="11" spans="1:34" s="72" customFormat="1" ht="27.75" customHeight="1">
      <c r="A11" s="71"/>
      <c r="E11" s="73"/>
      <c r="F11" s="510"/>
      <c r="G11" s="510"/>
      <c r="H11" s="510"/>
      <c r="I11" s="510"/>
      <c r="J11" s="510"/>
      <c r="K11" s="510"/>
      <c r="L11" s="510"/>
      <c r="M11" s="73"/>
      <c r="N11" s="511"/>
      <c r="O11" s="511"/>
      <c r="P11" s="74"/>
      <c r="Q11" s="74"/>
      <c r="R11" s="74"/>
      <c r="S11" s="74"/>
      <c r="T11" s="75"/>
      <c r="U11" s="75"/>
      <c r="V11" s="75"/>
      <c r="W11" s="76"/>
      <c r="X11" s="76"/>
      <c r="Y11" s="76"/>
      <c r="Z11" s="76"/>
      <c r="AA11" s="74"/>
      <c r="AB11" s="77"/>
      <c r="AC11" s="77"/>
      <c r="AD11" s="77"/>
      <c r="AH11" s="78"/>
    </row>
    <row r="12" spans="1:34" s="54" customFormat="1" ht="27.75" customHeight="1">
      <c r="A12" s="79"/>
      <c r="E12" s="80"/>
      <c r="F12" s="512"/>
      <c r="G12" s="512"/>
      <c r="H12" s="512"/>
      <c r="I12" s="512"/>
      <c r="J12" s="512"/>
      <c r="K12" s="512"/>
      <c r="L12" s="512"/>
      <c r="M12" s="73"/>
      <c r="N12" s="511"/>
      <c r="O12" s="511"/>
      <c r="P12" s="74"/>
      <c r="Q12" s="81"/>
      <c r="R12" s="81"/>
      <c r="S12" s="81"/>
      <c r="T12" s="82"/>
      <c r="U12" s="82"/>
      <c r="V12" s="82"/>
      <c r="W12" s="83"/>
      <c r="X12" s="83"/>
      <c r="Y12" s="83"/>
      <c r="Z12" s="83"/>
      <c r="AA12" s="81"/>
      <c r="AB12" s="84"/>
      <c r="AC12" s="84"/>
      <c r="AD12" s="84"/>
      <c r="AH12" s="85"/>
    </row>
    <row r="13" spans="1:34" s="66" customFormat="1" ht="26.25" customHeight="1">
      <c r="A13" s="65"/>
      <c r="D13" s="86"/>
      <c r="E13" s="87"/>
      <c r="F13" s="87"/>
      <c r="G13" s="87"/>
      <c r="H13" s="87"/>
      <c r="I13" s="87"/>
      <c r="J13" s="87"/>
      <c r="K13" s="87"/>
      <c r="L13" s="87"/>
      <c r="M13" s="87"/>
      <c r="N13" s="87"/>
      <c r="O13" s="87"/>
      <c r="P13" s="88"/>
      <c r="Q13" s="88"/>
      <c r="R13" s="88"/>
      <c r="S13" s="88"/>
      <c r="T13" s="89"/>
      <c r="U13" s="89"/>
      <c r="V13" s="89"/>
      <c r="W13" s="89"/>
      <c r="X13" s="89"/>
      <c r="Y13" s="90"/>
      <c r="Z13" s="69"/>
      <c r="AA13" s="69"/>
      <c r="AB13" s="69"/>
      <c r="AC13" s="69"/>
      <c r="AD13" s="69"/>
      <c r="AH13" s="70"/>
    </row>
    <row r="14" spans="1:34" s="66" customFormat="1" ht="26.25" customHeight="1">
      <c r="A14" s="65"/>
      <c r="D14" s="67"/>
      <c r="E14" s="506" t="s">
        <v>465</v>
      </c>
      <c r="F14" s="506"/>
      <c r="G14" s="506"/>
      <c r="H14" s="506"/>
      <c r="I14" s="506"/>
      <c r="J14" s="506"/>
      <c r="K14" s="507">
        <f>V14</f>
        <v>9430000</v>
      </c>
      <c r="L14" s="507"/>
      <c r="M14" s="507"/>
      <c r="N14" s="507"/>
      <c r="O14" s="507"/>
      <c r="P14" s="507"/>
      <c r="Q14" s="507"/>
      <c r="R14" s="507"/>
      <c r="S14" s="507"/>
      <c r="T14" s="507"/>
      <c r="U14" s="507"/>
      <c r="V14" s="508">
        <f>설계용역내역서!G10</f>
        <v>9430000</v>
      </c>
      <c r="W14" s="508"/>
      <c r="X14" s="508"/>
      <c r="Y14" s="508"/>
      <c r="Z14" s="508"/>
      <c r="AA14" s="508"/>
      <c r="AB14" s="91"/>
      <c r="AC14" s="91"/>
      <c r="AD14" s="91"/>
      <c r="AE14" s="91"/>
      <c r="AF14" s="92"/>
      <c r="AH14" s="70"/>
    </row>
    <row r="15" spans="1:34" s="66" customFormat="1" ht="13.5" customHeight="1">
      <c r="A15" s="65"/>
      <c r="D15" s="67"/>
      <c r="E15" s="93"/>
      <c r="F15" s="93"/>
      <c r="G15" s="93"/>
      <c r="H15" s="88"/>
      <c r="I15" s="88"/>
      <c r="J15" s="88"/>
      <c r="K15" s="67"/>
      <c r="L15" s="93"/>
      <c r="M15" s="93"/>
      <c r="N15" s="93"/>
      <c r="O15" s="88"/>
      <c r="P15" s="88"/>
      <c r="Q15" s="88"/>
      <c r="R15" s="88"/>
      <c r="S15" s="88"/>
      <c r="T15" s="88"/>
      <c r="U15" s="88"/>
      <c r="V15" s="88"/>
      <c r="W15" s="88"/>
      <c r="X15" s="88"/>
      <c r="Y15" s="88"/>
      <c r="Z15" s="92"/>
      <c r="AA15" s="92"/>
      <c r="AB15" s="92"/>
      <c r="AC15" s="92"/>
      <c r="AD15" s="92"/>
      <c r="AE15" s="92"/>
      <c r="AF15" s="92"/>
      <c r="AH15" s="70"/>
    </row>
    <row r="16" spans="1:34" ht="15" customHeight="1">
      <c r="A16" s="55"/>
      <c r="D16" s="94"/>
      <c r="E16" s="57"/>
      <c r="H16" s="95"/>
      <c r="I16" s="95"/>
      <c r="J16" s="96"/>
      <c r="K16" s="96"/>
      <c r="L16" s="96"/>
      <c r="M16" s="96"/>
      <c r="N16" s="96"/>
      <c r="O16" s="96"/>
      <c r="P16" s="96"/>
      <c r="Q16" s="96"/>
      <c r="R16" s="96"/>
      <c r="S16" s="96"/>
      <c r="T16" s="97"/>
      <c r="U16" s="97"/>
      <c r="V16" s="97"/>
      <c r="W16" s="97"/>
      <c r="X16" s="97"/>
      <c r="Y16" s="98"/>
      <c r="Z16" s="99"/>
      <c r="AA16" s="100"/>
      <c r="AB16" s="100"/>
      <c r="AC16" s="100"/>
      <c r="AD16" s="100"/>
      <c r="AH16" s="59"/>
    </row>
    <row r="17" spans="1:34" ht="54" customHeight="1">
      <c r="A17" s="55"/>
      <c r="I17" s="472" t="s">
        <v>615</v>
      </c>
      <c r="J17" s="472"/>
      <c r="K17" s="472"/>
      <c r="L17" s="472"/>
      <c r="M17" s="472"/>
      <c r="N17" s="472"/>
      <c r="O17" s="472"/>
      <c r="P17" s="472"/>
      <c r="Q17" s="472"/>
      <c r="R17" s="472"/>
      <c r="S17" s="472"/>
      <c r="T17" s="472"/>
      <c r="U17" s="472"/>
      <c r="V17" s="472"/>
      <c r="W17" s="472"/>
      <c r="X17" s="472"/>
      <c r="AH17" s="59"/>
    </row>
    <row r="18" spans="1:34" ht="26.25" customHeight="1">
      <c r="A18" s="101"/>
      <c r="B18" s="102"/>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3"/>
    </row>
    <row r="22" spans="1:34" ht="15" customHeight="1">
      <c r="N22" s="64"/>
    </row>
  </sheetData>
  <mergeCells count="24">
    <mergeCell ref="E14:J14"/>
    <mergeCell ref="K14:U14"/>
    <mergeCell ref="V14:AA14"/>
    <mergeCell ref="I17:X17"/>
    <mergeCell ref="A6:AH6"/>
    <mergeCell ref="E9:J9"/>
    <mergeCell ref="F10:L10"/>
    <mergeCell ref="N10:O10"/>
    <mergeCell ref="F11:L11"/>
    <mergeCell ref="N11:O11"/>
    <mergeCell ref="F12:L12"/>
    <mergeCell ref="N12:O12"/>
    <mergeCell ref="A5:AH5"/>
    <mergeCell ref="A1:D2"/>
    <mergeCell ref="E1:F2"/>
    <mergeCell ref="G1:J2"/>
    <mergeCell ref="K1:L2"/>
    <mergeCell ref="M1:P2"/>
    <mergeCell ref="Q1:R2"/>
    <mergeCell ref="S1:V2"/>
    <mergeCell ref="W1:X2"/>
    <mergeCell ref="Y1:AB2"/>
    <mergeCell ref="AC1:AD2"/>
    <mergeCell ref="AE1:AH2"/>
  </mergeCells>
  <phoneticPr fontId="87" type="noConversion"/>
  <pageMargins left="1" right="0.5" top="0.80000001192092896" bottom="0.70986109972000122" header="0.5" footer="0.5"/>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2"/>
  <sheetViews>
    <sheetView view="pageBreakPreview" zoomScale="115" zoomScaleNormal="100" zoomScaleSheetLayoutView="115" workbookViewId="0">
      <selection activeCell="D11" sqref="D11"/>
    </sheetView>
  </sheetViews>
  <sheetFormatPr defaultColWidth="8.88671875" defaultRowHeight="13.5"/>
  <cols>
    <col min="1" max="1" width="15.77734375" customWidth="1"/>
  </cols>
  <sheetData>
    <row r="1" spans="1:9" ht="20.25">
      <c r="A1" s="513" t="s">
        <v>474</v>
      </c>
      <c r="B1" s="514"/>
      <c r="C1" s="514"/>
      <c r="D1" s="514"/>
      <c r="E1" s="515"/>
      <c r="F1" s="514"/>
    </row>
    <row r="3" spans="1:9">
      <c r="A3" s="278" t="s">
        <v>148</v>
      </c>
      <c r="B3" s="516" t="str">
        <f>"착수일로부터 "&amp;data!B14&amp;"일간"</f>
        <v>착수일로부터 60일간</v>
      </c>
      <c r="C3" s="517"/>
      <c r="D3" s="517"/>
      <c r="E3" s="517"/>
      <c r="F3" s="517"/>
      <c r="G3" s="518"/>
      <c r="H3" s="522" t="s">
        <v>170</v>
      </c>
      <c r="I3" s="525" t="s">
        <v>155</v>
      </c>
    </row>
    <row r="4" spans="1:9">
      <c r="A4" s="260"/>
      <c r="B4" s="519"/>
      <c r="C4" s="520"/>
      <c r="D4" s="520"/>
      <c r="E4" s="520"/>
      <c r="F4" s="520"/>
      <c r="G4" s="521"/>
      <c r="H4" s="523"/>
      <c r="I4" s="526"/>
    </row>
    <row r="5" spans="1:9">
      <c r="A5" s="261" t="s">
        <v>152</v>
      </c>
      <c r="B5" s="262" t="s">
        <v>805</v>
      </c>
      <c r="C5" s="262" t="s">
        <v>806</v>
      </c>
      <c r="D5" s="262" t="s">
        <v>807</v>
      </c>
      <c r="E5" s="262" t="str">
        <f>data!B14/2&amp;"일"</f>
        <v>30일</v>
      </c>
      <c r="F5" s="262" t="str">
        <f>(data!B14-5)&amp;"일"</f>
        <v>55일</v>
      </c>
      <c r="G5" s="262" t="str">
        <f>data!B14&amp;"일"</f>
        <v>60일</v>
      </c>
      <c r="H5" s="524"/>
      <c r="I5" s="527"/>
    </row>
    <row r="6" spans="1:9">
      <c r="A6" s="263" t="s">
        <v>623</v>
      </c>
      <c r="B6" s="266"/>
      <c r="C6" s="266"/>
      <c r="D6" s="266"/>
      <c r="E6" s="266"/>
      <c r="F6" s="266"/>
      <c r="G6" s="266"/>
      <c r="H6" s="528">
        <v>5</v>
      </c>
      <c r="I6" s="531"/>
    </row>
    <row r="7" spans="1:9">
      <c r="A7" s="264" t="s">
        <v>598</v>
      </c>
      <c r="B7" s="267"/>
      <c r="C7" s="268"/>
      <c r="D7" s="268"/>
      <c r="E7" s="268"/>
      <c r="F7" s="268"/>
      <c r="G7" s="268"/>
      <c r="H7" s="529"/>
      <c r="I7" s="532"/>
    </row>
    <row r="8" spans="1:9">
      <c r="A8" s="265"/>
      <c r="B8" s="268"/>
      <c r="C8" s="268"/>
      <c r="D8" s="268"/>
      <c r="E8" s="268"/>
      <c r="F8" s="268"/>
      <c r="G8" s="268"/>
      <c r="H8" s="530"/>
      <c r="I8" s="533"/>
    </row>
    <row r="9" spans="1:9">
      <c r="A9" s="534" t="s">
        <v>626</v>
      </c>
      <c r="B9" s="268"/>
      <c r="C9" s="268"/>
      <c r="D9" s="268"/>
      <c r="E9" s="268"/>
      <c r="F9" s="268"/>
      <c r="G9" s="268"/>
      <c r="H9" s="537">
        <v>10</v>
      </c>
      <c r="I9" s="538"/>
    </row>
    <row r="10" spans="1:9">
      <c r="A10" s="535"/>
      <c r="B10" s="268"/>
      <c r="C10" s="267"/>
      <c r="D10" s="268"/>
      <c r="E10" s="268"/>
      <c r="F10" s="268"/>
      <c r="G10" s="268"/>
      <c r="H10" s="529"/>
      <c r="I10" s="532"/>
    </row>
    <row r="11" spans="1:9">
      <c r="A11" s="536"/>
      <c r="B11" s="268"/>
      <c r="C11" s="268"/>
      <c r="D11" s="268"/>
      <c r="E11" s="268"/>
      <c r="F11" s="268"/>
      <c r="G11" s="268"/>
      <c r="H11" s="530"/>
      <c r="I11" s="533"/>
    </row>
    <row r="12" spans="1:9">
      <c r="A12" s="269" t="s">
        <v>637</v>
      </c>
      <c r="B12" s="268"/>
      <c r="C12" s="268"/>
      <c r="D12" s="268"/>
      <c r="E12" s="268"/>
      <c r="F12" s="268"/>
      <c r="G12" s="268"/>
      <c r="H12" s="537">
        <f>data!B14/2</f>
        <v>30</v>
      </c>
      <c r="I12" s="538"/>
    </row>
    <row r="13" spans="1:9">
      <c r="A13" s="264" t="s">
        <v>592</v>
      </c>
      <c r="B13" s="268"/>
      <c r="C13" s="268"/>
      <c r="D13" s="267"/>
      <c r="E13" s="267"/>
      <c r="F13" s="268"/>
      <c r="G13" s="268"/>
      <c r="H13" s="529"/>
      <c r="I13" s="532"/>
    </row>
    <row r="14" spans="1:9">
      <c r="A14" s="265"/>
      <c r="B14" s="268"/>
      <c r="C14" s="268"/>
      <c r="D14" s="268"/>
      <c r="E14" s="268"/>
      <c r="F14" s="268"/>
      <c r="G14" s="268"/>
      <c r="H14" s="530"/>
      <c r="I14" s="533"/>
    </row>
    <row r="15" spans="1:9">
      <c r="A15" s="534" t="s">
        <v>596</v>
      </c>
      <c r="B15" s="268"/>
      <c r="C15" s="268"/>
      <c r="D15" s="268"/>
      <c r="E15" s="268"/>
      <c r="F15" s="268"/>
      <c r="G15" s="268"/>
      <c r="H15" s="537">
        <f>(data!B14-5)</f>
        <v>55</v>
      </c>
      <c r="I15" s="538"/>
    </row>
    <row r="16" spans="1:9">
      <c r="A16" s="535"/>
      <c r="B16" s="268"/>
      <c r="C16" s="268"/>
      <c r="D16" s="268"/>
      <c r="E16" s="267"/>
      <c r="F16" s="267"/>
      <c r="G16" s="268"/>
      <c r="H16" s="529"/>
      <c r="I16" s="532"/>
    </row>
    <row r="17" spans="1:9" ht="16.5">
      <c r="A17" s="536"/>
      <c r="B17" s="270"/>
      <c r="C17" s="268"/>
      <c r="D17" s="268"/>
      <c r="E17" s="268"/>
      <c r="F17" s="268"/>
      <c r="G17" s="268"/>
      <c r="H17" s="530"/>
      <c r="I17" s="533"/>
    </row>
    <row r="18" spans="1:9">
      <c r="A18" s="534" t="s">
        <v>633</v>
      </c>
      <c r="B18" s="268"/>
      <c r="C18" s="268"/>
      <c r="D18" s="268"/>
      <c r="E18" s="268"/>
      <c r="F18" s="268"/>
      <c r="G18" s="268"/>
      <c r="H18" s="537">
        <f>data!B14</f>
        <v>60</v>
      </c>
      <c r="I18" s="538"/>
    </row>
    <row r="19" spans="1:9">
      <c r="A19" s="535"/>
      <c r="B19" s="268"/>
      <c r="C19" s="268"/>
      <c r="D19" s="268"/>
      <c r="E19" s="268"/>
      <c r="F19" s="267"/>
      <c r="G19" s="267"/>
      <c r="H19" s="529"/>
      <c r="I19" s="532"/>
    </row>
    <row r="20" spans="1:9">
      <c r="A20" s="536"/>
      <c r="B20" s="268"/>
      <c r="C20" s="268"/>
      <c r="D20" s="268"/>
      <c r="E20" s="268"/>
      <c r="F20" s="268"/>
      <c r="G20" s="268"/>
      <c r="H20" s="530"/>
      <c r="I20" s="533"/>
    </row>
    <row r="21" spans="1:9" ht="14.25">
      <c r="A21" s="271" t="s">
        <v>164</v>
      </c>
      <c r="B21" s="272">
        <v>5</v>
      </c>
      <c r="C21" s="272">
        <v>10</v>
      </c>
      <c r="D21" s="272">
        <v>15</v>
      </c>
      <c r="E21" s="272">
        <f>data!B14/2</f>
        <v>30</v>
      </c>
      <c r="F21" s="272">
        <f>(data!B14-5)</f>
        <v>55</v>
      </c>
      <c r="G21" s="273">
        <f>data!B14</f>
        <v>60</v>
      </c>
      <c r="H21" s="273">
        <f>data!B14</f>
        <v>60</v>
      </c>
      <c r="I21" s="274"/>
    </row>
    <row r="22" spans="1:9">
      <c r="A22" s="275" t="s">
        <v>167</v>
      </c>
      <c r="B22" s="276"/>
      <c r="C22" s="276"/>
      <c r="D22" s="276"/>
      <c r="E22" s="276"/>
      <c r="F22" s="276"/>
      <c r="G22" s="276"/>
      <c r="H22" s="276"/>
      <c r="I22" s="277"/>
    </row>
  </sheetData>
  <mergeCells count="17">
    <mergeCell ref="A18:A20"/>
    <mergeCell ref="H18:H20"/>
    <mergeCell ref="I18:I20"/>
    <mergeCell ref="A9:A11"/>
    <mergeCell ref="H9:H11"/>
    <mergeCell ref="I9:I11"/>
    <mergeCell ref="H12:H14"/>
    <mergeCell ref="I12:I14"/>
    <mergeCell ref="A15:A17"/>
    <mergeCell ref="H15:H17"/>
    <mergeCell ref="I15:I17"/>
    <mergeCell ref="A1:F1"/>
    <mergeCell ref="B3:G4"/>
    <mergeCell ref="H3:H5"/>
    <mergeCell ref="I3:I5"/>
    <mergeCell ref="H6:H8"/>
    <mergeCell ref="I6:I8"/>
  </mergeCells>
  <phoneticPr fontId="87" type="noConversion"/>
  <pageMargins left="0.69986110925674438" right="0.69986110925674438" top="0.75" bottom="0.75" header="0.30000001192092896" footer="0.30000001192092896"/>
  <pageSetup paperSize="9" scale="8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O23"/>
  <sheetViews>
    <sheetView tabSelected="1" view="pageBreakPreview" zoomScale="60" zoomScaleNormal="70" workbookViewId="0">
      <selection activeCell="G7" sqref="G7"/>
    </sheetView>
  </sheetViews>
  <sheetFormatPr defaultColWidth="8.88671875" defaultRowHeight="13.5"/>
  <cols>
    <col min="1" max="1" width="3.5546875" customWidth="1"/>
    <col min="2" max="2" width="17.33203125" customWidth="1"/>
  </cols>
  <sheetData>
    <row r="1" spans="1:15" ht="31.5">
      <c r="A1" s="539" t="s">
        <v>48</v>
      </c>
      <c r="B1" s="539"/>
      <c r="C1" s="539"/>
      <c r="D1" s="539"/>
      <c r="E1" s="539"/>
      <c r="F1" s="539"/>
      <c r="G1" s="539"/>
      <c r="H1" s="539"/>
      <c r="I1" s="539"/>
      <c r="J1" s="539"/>
      <c r="K1" s="539"/>
      <c r="L1" s="539"/>
      <c r="M1" s="539"/>
      <c r="N1" s="539"/>
      <c r="O1" s="539"/>
    </row>
    <row r="2" spans="1:15" ht="22.5">
      <c r="A2" s="279"/>
    </row>
    <row r="3" spans="1:15" ht="20.25">
      <c r="A3" s="540" t="s">
        <v>468</v>
      </c>
      <c r="B3" s="540"/>
      <c r="C3" s="283" t="str">
        <f>겉표지!A5</f>
        <v>ㅇㅇㅇㅇㅇㅇㅇㅇㅇ</v>
      </c>
      <c r="D3" s="283"/>
      <c r="E3" s="283"/>
      <c r="F3" s="283"/>
      <c r="G3" s="283"/>
      <c r="H3" s="283"/>
      <c r="I3" s="283"/>
      <c r="J3" s="283"/>
      <c r="K3" s="283"/>
      <c r="L3" s="283"/>
      <c r="M3" s="283"/>
      <c r="N3" s="283"/>
      <c r="O3" s="283"/>
    </row>
    <row r="4" spans="1:15" ht="20.25">
      <c r="A4" s="280"/>
      <c r="B4" s="284"/>
      <c r="C4" s="283"/>
      <c r="D4" s="283"/>
      <c r="E4" s="283"/>
      <c r="F4" s="283"/>
      <c r="G4" s="283"/>
      <c r="H4" s="283"/>
      <c r="I4" s="283"/>
      <c r="J4" s="283"/>
      <c r="K4" s="283"/>
      <c r="L4" s="283"/>
      <c r="M4" s="283"/>
      <c r="N4" s="283"/>
      <c r="O4" s="283"/>
    </row>
    <row r="5" spans="1:15" ht="20.25">
      <c r="A5" s="540" t="s">
        <v>477</v>
      </c>
      <c r="B5" s="540"/>
      <c r="C5" s="540"/>
      <c r="D5" s="540"/>
      <c r="E5" s="540"/>
      <c r="F5" s="540"/>
      <c r="G5" s="540"/>
      <c r="H5" s="540"/>
      <c r="I5" s="540"/>
      <c r="J5" s="283"/>
      <c r="K5" s="283"/>
      <c r="L5" s="283"/>
      <c r="M5" s="283"/>
      <c r="N5" s="283"/>
      <c r="O5" s="283"/>
    </row>
    <row r="6" spans="1:15" ht="33.75" customHeight="1">
      <c r="A6" s="280"/>
      <c r="B6" s="541" t="s">
        <v>608</v>
      </c>
      <c r="C6" s="541"/>
      <c r="D6" s="297" t="str">
        <f>VLOOKUP("ccbaMnm1",data!$A$1:$B$270,2,0)</f>
        <v>보령 성주사지</v>
      </c>
      <c r="E6" s="297"/>
      <c r="F6" s="283"/>
      <c r="G6" s="283"/>
      <c r="H6" s="283"/>
      <c r="I6" s="283"/>
      <c r="J6" s="542"/>
      <c r="K6" s="542"/>
      <c r="L6" s="542"/>
      <c r="M6" s="542"/>
      <c r="N6" s="542"/>
      <c r="O6" s="283"/>
    </row>
    <row r="7" spans="1:15" ht="33.75" customHeight="1">
      <c r="A7" s="280"/>
      <c r="B7" s="541" t="s">
        <v>642</v>
      </c>
      <c r="C7" s="541"/>
      <c r="D7" s="297" t="str">
        <f>VLOOKUP("ccmaName",data!$A$1:$B$270,2,0)&amp;"("&amp;TEXT(DATE(LEFT(VLOOKUP("ccbaAsdt",data!$A$1:$B$270,2,0),4),MID(VLOOKUP("ccbaAsdt",data!$A$1:$B$270,2,0),5,2),RIGHT(VLOOKUP("ccbaAsdt",data!$A$1:$B$270,2,0),2)),"yyyy.mm.dd.")&amp;")"</f>
        <v>사적(1984.08.13.)</v>
      </c>
      <c r="E7" s="297"/>
      <c r="F7" s="283"/>
      <c r="G7" s="283"/>
      <c r="H7" s="283"/>
      <c r="I7" s="283"/>
      <c r="J7" s="542"/>
      <c r="K7" s="542"/>
      <c r="L7" s="542"/>
      <c r="M7" s="542"/>
      <c r="N7" s="542"/>
      <c r="O7" s="283"/>
    </row>
    <row r="8" spans="1:15" ht="33.75" customHeight="1">
      <c r="A8" s="280"/>
      <c r="B8" s="541" t="s">
        <v>609</v>
      </c>
      <c r="C8" s="541"/>
      <c r="D8" s="297" t="str">
        <f>VLOOKUP("ccbaQuan",data!$A$1:$B$270,2,0)</f>
        <v>67,295㎡</v>
      </c>
      <c r="E8" s="297"/>
      <c r="F8" s="283"/>
      <c r="G8" s="283"/>
      <c r="H8" s="283"/>
      <c r="I8" s="283"/>
      <c r="J8" s="542"/>
      <c r="K8" s="542"/>
      <c r="L8" s="542"/>
      <c r="M8" s="542"/>
      <c r="N8" s="542"/>
      <c r="O8" s="283"/>
    </row>
    <row r="9" spans="1:15" ht="33.75" customHeight="1">
      <c r="A9" s="280"/>
      <c r="B9" s="541" t="s">
        <v>466</v>
      </c>
      <c r="C9" s="541"/>
      <c r="D9" s="297" t="str">
        <f>VLOOKUP("ccbaPoss",data!$A$1:$B$270,2,0)&amp;" / "&amp;VLOOKUP("ccbaAdmin",data!$A$1:$B$270,2,0)</f>
        <v>보령시 등 / 보령시</v>
      </c>
      <c r="E9" s="297"/>
      <c r="F9" s="283"/>
      <c r="G9" s="283"/>
      <c r="H9" s="283"/>
      <c r="I9" s="283"/>
      <c r="J9" s="542"/>
      <c r="K9" s="542"/>
      <c r="L9" s="542"/>
      <c r="M9" s="542"/>
      <c r="N9" s="542"/>
      <c r="O9" s="283"/>
    </row>
    <row r="10" spans="1:15" ht="33.75" customHeight="1">
      <c r="A10" s="280"/>
      <c r="B10" s="541" t="s">
        <v>641</v>
      </c>
      <c r="C10" s="541"/>
      <c r="D10" s="297"/>
      <c r="E10" s="297"/>
      <c r="F10" s="283"/>
      <c r="G10" s="283"/>
      <c r="H10" s="283"/>
      <c r="I10" s="283"/>
      <c r="J10" s="542"/>
      <c r="K10" s="542"/>
      <c r="L10" s="542"/>
      <c r="M10" s="542"/>
      <c r="N10" s="542"/>
      <c r="O10" s="283"/>
    </row>
    <row r="11" spans="1:15" ht="305.25" customHeight="1">
      <c r="A11" s="280"/>
      <c r="B11" s="544" t="str">
        <f>VLOOKUP("content",data!$A$1:$B$270,2,0)</f>
        <v>보령 성주산 남쪽 기슭에 있는 9산선문의 하나인 성주사가 있던 자리이다.
 백제 법왕 때 처음 지어졌는데 당시에는 오합사(烏合寺)라고 부르다가, 신라 문성왕때 당나라에서 돌아온 낭혜화상이 절을 크게 중창하면서 성주사라고 하였다. 산골에 자리잡고 있는 절이지만 통일신라시대의 다른 절과는 달리 평지에 자리하는 가람의 형식을 택하였다.
 절터에는 남에서부터 차례로 중문처, 석등, 5층석탑(보물), 금당건물과 그뒤에 동서로 나란히 서있는 동삼층석탑, 중앙 3층석탑(보물), 서 3층석탑(보물)가 있고 그 뒤에  강당이 자리하고 있다. 최치원의 사산비문 중 하나인 낭혜화상백월보광탑비(국보)도 절의 북서쪽에 있다.
 발굴조사결과 건물의 초석, 통일신라시대의 흙으로 빚은 불상의 머리, 백제·통일신라·고려시대의 기와 등 많은 유물이 출토되었다.
 성주사는 당대 최대의 사찰이었으며, 최치원이 쓴 낭혜화상백월보광탑비는 신라 석비 중 가장 큰 작품으로 매우 중요한 학술적 가치를 지닌다.
&amp;lt;br/&amp;gt;&amp;lt;b&amp;gt;※(성주사지 → 보령 성주사지)으로 명칭변경 되었습니다.(2011.07.28 고시)&amp;lt;/b&amp;gt;</v>
      </c>
      <c r="C11" s="544"/>
      <c r="D11" s="544"/>
      <c r="E11" s="544"/>
      <c r="F11" s="544"/>
      <c r="G11" s="544"/>
      <c r="H11" s="544"/>
      <c r="I11" s="544"/>
      <c r="J11" s="544"/>
      <c r="K11" s="544"/>
      <c r="L11" s="544"/>
      <c r="M11" s="544"/>
      <c r="N11" s="544"/>
      <c r="O11" s="283"/>
    </row>
    <row r="12" spans="1:15" ht="20.25">
      <c r="A12" s="540" t="s">
        <v>470</v>
      </c>
      <c r="B12" s="540"/>
      <c r="C12" s="283" t="str">
        <f>VLOOKUP("ccbaLcad",data!$A$1:$B$270,2,0)</f>
        <v>충남 보령시 성주면 성주리 72번지</v>
      </c>
      <c r="D12" s="283"/>
      <c r="E12" s="283"/>
      <c r="F12" s="283"/>
      <c r="G12" s="283"/>
      <c r="H12" s="283"/>
      <c r="I12" s="283"/>
      <c r="J12" s="283"/>
      <c r="K12" s="283"/>
      <c r="L12" s="283"/>
      <c r="M12" s="283"/>
      <c r="N12" s="283"/>
      <c r="O12" s="283"/>
    </row>
    <row r="13" spans="1:15" ht="20.25">
      <c r="A13" s="280"/>
      <c r="B13" s="284"/>
      <c r="C13" s="283"/>
      <c r="D13" s="283"/>
      <c r="E13" s="283"/>
      <c r="F13" s="283"/>
      <c r="G13" s="283"/>
      <c r="H13" s="283"/>
      <c r="I13" s="283"/>
      <c r="J13" s="283"/>
      <c r="K13" s="283"/>
      <c r="L13" s="283"/>
      <c r="M13" s="283"/>
      <c r="N13" s="283"/>
      <c r="O13" s="283"/>
    </row>
    <row r="14" spans="1:15" ht="20.25">
      <c r="A14" s="540" t="s">
        <v>408</v>
      </c>
      <c r="B14" s="540"/>
      <c r="C14" s="283" t="str">
        <f>data!B8</f>
        <v>ㅇㅇㅇㅇㅇㅇㅇㅇㅇ</v>
      </c>
      <c r="D14" s="283"/>
      <c r="E14" s="283"/>
      <c r="F14" s="283"/>
      <c r="G14" s="283"/>
      <c r="H14" s="283"/>
      <c r="I14" s="283"/>
      <c r="J14" s="283"/>
      <c r="K14" s="283"/>
      <c r="L14" s="283"/>
      <c r="M14" s="283"/>
      <c r="N14" s="283"/>
      <c r="O14" s="283"/>
    </row>
    <row r="15" spans="1:15" ht="20.25">
      <c r="A15" s="281"/>
      <c r="B15" s="284"/>
      <c r="C15" s="283"/>
      <c r="D15" s="283"/>
      <c r="E15" s="283"/>
      <c r="F15" s="283"/>
      <c r="G15" s="283"/>
      <c r="H15" s="283"/>
      <c r="I15" s="283"/>
      <c r="J15" s="283"/>
      <c r="K15" s="283"/>
      <c r="L15" s="283"/>
      <c r="M15" s="283"/>
      <c r="N15" s="283"/>
      <c r="O15" s="283"/>
    </row>
    <row r="16" spans="1:15" ht="20.25">
      <c r="A16" s="540" t="s">
        <v>469</v>
      </c>
      <c r="B16" s="540"/>
      <c r="C16" s="283" t="str">
        <f>VLOOKUP("설계내용",data!$A$1:$B$270,2,0)</f>
        <v>ㅇㅇㅇㅇㅇㅇㅇㅇㅇㅇㅇ</v>
      </c>
      <c r="D16" s="283"/>
      <c r="E16" s="283"/>
      <c r="F16" s="283"/>
      <c r="G16" s="283"/>
      <c r="H16" s="283"/>
      <c r="I16" s="283"/>
      <c r="J16" s="283"/>
      <c r="K16" s="283"/>
      <c r="L16" s="283"/>
      <c r="M16" s="283"/>
      <c r="N16" s="283"/>
      <c r="O16" s="283"/>
    </row>
    <row r="17" spans="1:15" ht="20.25">
      <c r="A17" s="282"/>
      <c r="B17" s="283"/>
      <c r="C17" s="283"/>
      <c r="D17" s="283"/>
      <c r="E17" s="283"/>
      <c r="F17" s="283"/>
      <c r="G17" s="283"/>
      <c r="H17" s="283"/>
      <c r="I17" s="283"/>
      <c r="J17" s="283"/>
      <c r="K17" s="283"/>
      <c r="L17" s="283"/>
      <c r="M17" s="283"/>
      <c r="N17" s="283"/>
      <c r="O17" s="283"/>
    </row>
    <row r="18" spans="1:15" ht="20.25">
      <c r="A18" s="540" t="s">
        <v>22</v>
      </c>
      <c r="B18" s="540"/>
      <c r="C18" s="540"/>
      <c r="D18" s="540"/>
      <c r="E18" s="540"/>
      <c r="F18" s="540"/>
      <c r="G18" s="540"/>
      <c r="H18" s="540"/>
      <c r="I18" s="540"/>
      <c r="J18" s="540"/>
      <c r="K18" s="283"/>
      <c r="L18" s="283"/>
      <c r="M18" s="283"/>
      <c r="N18" s="283"/>
      <c r="O18" s="283"/>
    </row>
    <row r="19" spans="1:15" ht="54" customHeight="1">
      <c r="A19" s="543" t="str">
        <f>"◦ "&amp;VLOOKUP("지침",data!$A$1:$B$270,2,0)</f>
        <v>◦ ㅇㅇㅇㅇㅇㅇㅇㅇㅇㅇㅇㅇ</v>
      </c>
      <c r="B19" s="543"/>
      <c r="C19" s="543"/>
      <c r="D19" s="543"/>
      <c r="E19" s="543"/>
      <c r="F19" s="543"/>
      <c r="G19" s="543"/>
      <c r="H19" s="543"/>
      <c r="I19" s="543"/>
      <c r="J19" s="543"/>
      <c r="K19" s="543"/>
      <c r="L19" s="543"/>
      <c r="M19" s="543"/>
      <c r="N19" s="543"/>
      <c r="O19" s="543"/>
    </row>
    <row r="20" spans="1:15" ht="54" hidden="1" customHeight="1">
      <c r="A20" s="543"/>
      <c r="B20" s="543"/>
      <c r="C20" s="543"/>
      <c r="D20" s="543"/>
      <c r="E20" s="543"/>
      <c r="F20" s="543"/>
      <c r="G20" s="543"/>
      <c r="H20" s="543"/>
      <c r="I20" s="543"/>
      <c r="J20" s="543"/>
      <c r="K20" s="543"/>
      <c r="L20" s="543"/>
      <c r="M20" s="543"/>
      <c r="N20" s="543"/>
      <c r="O20" s="543"/>
    </row>
    <row r="21" spans="1:15" ht="54" hidden="1" customHeight="1">
      <c r="A21" s="543"/>
      <c r="B21" s="543"/>
      <c r="C21" s="543"/>
      <c r="D21" s="543"/>
      <c r="E21" s="543"/>
      <c r="F21" s="543"/>
      <c r="G21" s="543"/>
      <c r="H21" s="543"/>
      <c r="I21" s="543"/>
      <c r="J21" s="543"/>
      <c r="K21" s="543"/>
      <c r="L21" s="543"/>
      <c r="M21" s="543"/>
      <c r="N21" s="543"/>
      <c r="O21" s="543"/>
    </row>
    <row r="22" spans="1:15" ht="20.25">
      <c r="A22" s="540" t="s">
        <v>471</v>
      </c>
      <c r="B22" s="540"/>
      <c r="C22" s="283" t="str">
        <f>예정공정표!B3</f>
        <v>착수일로부터 60일간</v>
      </c>
      <c r="D22" s="283"/>
      <c r="E22" s="283"/>
      <c r="F22" s="283"/>
      <c r="G22" s="283"/>
      <c r="H22" s="283"/>
      <c r="I22" s="283"/>
      <c r="J22" s="283"/>
      <c r="K22" s="283"/>
      <c r="L22" s="283"/>
      <c r="M22" s="283"/>
      <c r="N22" s="283"/>
      <c r="O22" s="283"/>
    </row>
    <row r="23" spans="1:15">
      <c r="A23" t="s">
        <v>165</v>
      </c>
    </row>
  </sheetData>
  <mergeCells count="18">
    <mergeCell ref="A19:O19"/>
    <mergeCell ref="A20:O20"/>
    <mergeCell ref="A21:O21"/>
    <mergeCell ref="A22:B22"/>
    <mergeCell ref="A5:I5"/>
    <mergeCell ref="B11:N11"/>
    <mergeCell ref="A18:J18"/>
    <mergeCell ref="A1:O1"/>
    <mergeCell ref="A3:B3"/>
    <mergeCell ref="A12:B12"/>
    <mergeCell ref="A14:B14"/>
    <mergeCell ref="A16:B16"/>
    <mergeCell ref="B6:C6"/>
    <mergeCell ref="B7:C7"/>
    <mergeCell ref="B8:C8"/>
    <mergeCell ref="B9:C9"/>
    <mergeCell ref="B10:C10"/>
    <mergeCell ref="J6:N10"/>
  </mergeCells>
  <phoneticPr fontId="87" type="noConversion"/>
  <pageMargins left="0.69986110925674438" right="0.69986110925674438" top="0.75" bottom="0.75" header="0.30000001192092896" footer="0.30000001192092896"/>
  <pageSetup paperSize="9" scale="5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dimension ref="A1:O428"/>
  <sheetViews>
    <sheetView zoomScale="55" zoomScaleNormal="55" zoomScaleSheetLayoutView="75" workbookViewId="0">
      <selection activeCell="L37" sqref="L37"/>
    </sheetView>
  </sheetViews>
  <sheetFormatPr defaultColWidth="8.88671875" defaultRowHeight="13.5"/>
  <sheetData>
    <row r="1" spans="1:15" ht="31.5">
      <c r="A1" s="574" t="s">
        <v>432</v>
      </c>
      <c r="B1" s="574"/>
      <c r="C1" s="574"/>
      <c r="D1" s="574"/>
      <c r="E1" s="574"/>
      <c r="F1" s="574"/>
      <c r="G1" s="574"/>
      <c r="H1" s="574"/>
      <c r="I1" s="574"/>
      <c r="J1" s="574"/>
      <c r="K1" s="574"/>
      <c r="L1" s="574"/>
      <c r="M1" s="574"/>
      <c r="N1" s="574"/>
      <c r="O1" s="574"/>
    </row>
    <row r="2" spans="1:15">
      <c r="A2" s="304"/>
    </row>
    <row r="3" spans="1:15" ht="18.75">
      <c r="A3" s="575" t="s">
        <v>437</v>
      </c>
      <c r="B3" s="575"/>
      <c r="C3" s="575"/>
      <c r="D3" s="575"/>
      <c r="E3" s="575"/>
      <c r="F3" s="575"/>
      <c r="G3" s="575"/>
      <c r="H3" s="575"/>
      <c r="I3" s="575"/>
      <c r="J3" s="575"/>
      <c r="K3" s="575"/>
      <c r="L3" s="575"/>
      <c r="M3" s="575"/>
      <c r="N3" s="575"/>
      <c r="O3" s="575"/>
    </row>
    <row r="4" spans="1:15" ht="18.75">
      <c r="A4" s="547" t="s">
        <v>228</v>
      </c>
      <c r="B4" s="547"/>
      <c r="C4" s="547"/>
      <c r="D4" s="547"/>
      <c r="E4" s="547"/>
      <c r="F4" s="547"/>
      <c r="G4" s="547"/>
      <c r="H4" s="547"/>
      <c r="I4" s="547"/>
      <c r="J4" s="547"/>
      <c r="K4" s="547"/>
      <c r="L4" s="547"/>
      <c r="M4" s="547"/>
      <c r="N4" s="547"/>
      <c r="O4" s="547"/>
    </row>
    <row r="5" spans="1:15" ht="18.75">
      <c r="A5" s="576" t="s">
        <v>428</v>
      </c>
      <c r="B5" s="576"/>
      <c r="C5" s="576"/>
    </row>
    <row r="6" spans="1:15" ht="18.75">
      <c r="A6" s="547" t="s">
        <v>801</v>
      </c>
      <c r="B6" s="547"/>
      <c r="C6" s="547"/>
      <c r="D6" s="547"/>
      <c r="E6" s="547"/>
      <c r="F6" s="547"/>
      <c r="G6" s="547"/>
      <c r="H6" s="547"/>
      <c r="I6" s="547"/>
      <c r="J6" s="547"/>
      <c r="K6" s="547"/>
      <c r="L6" s="547"/>
      <c r="M6" s="547"/>
      <c r="N6" s="547"/>
      <c r="O6" s="547"/>
    </row>
    <row r="7" spans="1:15" ht="18.75">
      <c r="A7" s="547" t="s">
        <v>293</v>
      </c>
      <c r="B7" s="547"/>
      <c r="C7" s="547"/>
      <c r="D7" s="547"/>
      <c r="E7" s="547"/>
      <c r="F7" s="547"/>
      <c r="G7" s="547"/>
      <c r="H7" s="547"/>
      <c r="I7" s="547"/>
      <c r="J7" s="547"/>
      <c r="K7" s="547"/>
      <c r="L7" s="547"/>
      <c r="M7" s="547"/>
      <c r="N7" s="547"/>
      <c r="O7" s="547"/>
    </row>
    <row r="8" spans="1:15" ht="18.75">
      <c r="A8" s="547" t="s">
        <v>564</v>
      </c>
      <c r="B8" s="547"/>
      <c r="C8" s="547"/>
      <c r="D8" s="547"/>
      <c r="E8" s="547"/>
      <c r="F8" s="547"/>
      <c r="G8" s="547"/>
      <c r="H8" s="547"/>
      <c r="I8" s="547"/>
      <c r="J8" s="547"/>
      <c r="K8" s="547"/>
      <c r="L8" s="547"/>
      <c r="M8" s="547"/>
      <c r="N8" s="547"/>
      <c r="O8" s="547"/>
    </row>
    <row r="9" spans="1:15" ht="18.75">
      <c r="A9" s="547" t="s">
        <v>363</v>
      </c>
      <c r="B9" s="547"/>
      <c r="C9" s="547"/>
      <c r="D9" s="547"/>
      <c r="E9" s="547"/>
      <c r="F9" s="547"/>
      <c r="G9" s="547"/>
      <c r="H9" s="547"/>
      <c r="I9" s="547"/>
      <c r="J9" s="547"/>
      <c r="K9" s="547"/>
      <c r="L9" s="547"/>
      <c r="M9" s="547"/>
      <c r="N9" s="547"/>
      <c r="O9" s="547"/>
    </row>
    <row r="10" spans="1:15" ht="18.75">
      <c r="A10" s="547" t="s">
        <v>797</v>
      </c>
      <c r="B10" s="547"/>
      <c r="C10" s="547"/>
      <c r="D10" s="547"/>
      <c r="E10" s="547"/>
      <c r="F10" s="547"/>
      <c r="G10" s="547"/>
      <c r="H10" s="547"/>
      <c r="I10" s="547"/>
      <c r="J10" s="547"/>
      <c r="K10" s="547"/>
      <c r="L10" s="547"/>
      <c r="M10" s="547"/>
      <c r="N10" s="547"/>
      <c r="O10" s="547"/>
    </row>
    <row r="11" spans="1:15" ht="18.75">
      <c r="A11" s="547" t="s">
        <v>565</v>
      </c>
      <c r="B11" s="547"/>
      <c r="C11" s="547"/>
      <c r="D11" s="547"/>
      <c r="E11" s="547"/>
      <c r="F11" s="547"/>
      <c r="G11" s="547"/>
      <c r="H11" s="547"/>
      <c r="I11" s="547"/>
      <c r="J11" s="547"/>
      <c r="K11" s="547"/>
      <c r="L11" s="547"/>
      <c r="M11" s="547"/>
      <c r="N11" s="547"/>
      <c r="O11" s="547"/>
    </row>
    <row r="12" spans="1:15" ht="18.75">
      <c r="A12" s="547" t="s">
        <v>554</v>
      </c>
      <c r="B12" s="547"/>
      <c r="C12" s="547"/>
      <c r="D12" s="547"/>
      <c r="E12" s="547"/>
      <c r="F12" s="547"/>
      <c r="G12" s="547"/>
      <c r="H12" s="547"/>
      <c r="I12" s="547"/>
      <c r="J12" s="547"/>
      <c r="K12" s="547"/>
      <c r="L12" s="547"/>
      <c r="M12" s="547"/>
      <c r="N12" s="547"/>
      <c r="O12" s="547"/>
    </row>
    <row r="13" spans="1:15" ht="18.75">
      <c r="A13" s="545" t="s">
        <v>287</v>
      </c>
      <c r="B13" s="545"/>
      <c r="C13" s="545"/>
      <c r="D13" s="545"/>
      <c r="E13" s="545"/>
      <c r="F13" s="545"/>
      <c r="G13" s="545"/>
      <c r="H13" s="545"/>
      <c r="I13" s="545"/>
      <c r="J13" s="545"/>
      <c r="K13" s="545"/>
      <c r="L13" s="545"/>
      <c r="M13" s="545"/>
      <c r="N13" s="545"/>
      <c r="O13" s="545"/>
    </row>
    <row r="14" spans="1:15" ht="18.75">
      <c r="A14" s="545" t="s">
        <v>384</v>
      </c>
      <c r="B14" s="545"/>
      <c r="C14" s="545"/>
      <c r="D14" s="545"/>
      <c r="E14" s="545"/>
      <c r="F14" s="545"/>
      <c r="G14" s="545"/>
      <c r="H14" s="545"/>
      <c r="I14" s="545"/>
      <c r="J14" s="545"/>
      <c r="K14" s="545"/>
      <c r="L14" s="545"/>
      <c r="M14" s="545"/>
      <c r="N14" s="545"/>
      <c r="O14" s="545"/>
    </row>
    <row r="15" spans="1:15" ht="18.75">
      <c r="A15" s="545" t="s">
        <v>292</v>
      </c>
      <c r="B15" s="545"/>
      <c r="C15" s="545"/>
      <c r="D15" s="545"/>
      <c r="E15" s="545"/>
      <c r="F15" s="545"/>
      <c r="G15" s="545"/>
      <c r="H15" s="545"/>
      <c r="I15" s="545"/>
      <c r="J15" s="545"/>
      <c r="K15" s="545"/>
      <c r="L15" s="545"/>
      <c r="M15" s="545"/>
      <c r="N15" s="545"/>
      <c r="O15" s="545"/>
    </row>
    <row r="16" spans="1:15" ht="18.75">
      <c r="A16" s="545" t="s">
        <v>278</v>
      </c>
      <c r="B16" s="545"/>
      <c r="C16" s="545"/>
      <c r="D16" s="545"/>
      <c r="E16" s="545"/>
      <c r="F16" s="545"/>
      <c r="G16" s="545"/>
      <c r="H16" s="545"/>
      <c r="I16" s="545"/>
      <c r="J16" s="545"/>
      <c r="K16" s="545"/>
      <c r="L16" s="545"/>
      <c r="M16" s="545"/>
      <c r="N16" s="545"/>
      <c r="O16" s="545"/>
    </row>
    <row r="17" spans="1:15" ht="18.75">
      <c r="A17" s="545" t="s">
        <v>244</v>
      </c>
      <c r="B17" s="545"/>
      <c r="C17" s="545"/>
      <c r="D17" s="545"/>
      <c r="E17" s="545"/>
      <c r="F17" s="545"/>
      <c r="G17" s="545"/>
      <c r="H17" s="545"/>
      <c r="I17" s="545"/>
      <c r="J17" s="545"/>
      <c r="K17" s="545"/>
      <c r="L17" s="545"/>
      <c r="M17" s="545"/>
      <c r="N17" s="545"/>
      <c r="O17" s="545"/>
    </row>
    <row r="18" spans="1:15" ht="18.75">
      <c r="A18" s="545" t="s">
        <v>344</v>
      </c>
      <c r="B18" s="545"/>
      <c r="C18" s="545"/>
      <c r="D18" s="545"/>
      <c r="E18" s="545"/>
      <c r="F18" s="545"/>
      <c r="G18" s="545"/>
      <c r="H18" s="545"/>
      <c r="I18" s="545"/>
      <c r="J18" s="545"/>
      <c r="K18" s="545"/>
      <c r="L18" s="545"/>
      <c r="M18" s="545"/>
      <c r="N18" s="545"/>
      <c r="O18" s="545"/>
    </row>
    <row r="19" spans="1:15" ht="18.75">
      <c r="A19" s="545" t="s">
        <v>361</v>
      </c>
      <c r="B19" s="545"/>
      <c r="C19" s="545"/>
      <c r="D19" s="545"/>
      <c r="E19" s="545"/>
      <c r="F19" s="545"/>
      <c r="G19" s="545"/>
      <c r="H19" s="545"/>
      <c r="I19" s="545"/>
      <c r="J19" s="545"/>
      <c r="K19" s="545"/>
      <c r="L19" s="545"/>
      <c r="M19" s="545"/>
      <c r="N19" s="545"/>
      <c r="O19" s="545"/>
    </row>
    <row r="20" spans="1:15" ht="18.75">
      <c r="A20" s="545" t="s">
        <v>0</v>
      </c>
      <c r="B20" s="545"/>
      <c r="C20" s="545"/>
      <c r="D20" s="545"/>
      <c r="E20" s="545"/>
      <c r="F20" s="545"/>
      <c r="G20" s="545"/>
      <c r="H20" s="545"/>
      <c r="I20" s="545"/>
      <c r="J20" s="545"/>
      <c r="K20" s="545"/>
      <c r="L20" s="545"/>
      <c r="M20" s="545"/>
      <c r="N20" s="545"/>
      <c r="O20" s="545"/>
    </row>
    <row r="21" spans="1:15" ht="18.75">
      <c r="A21" s="545" t="s">
        <v>289</v>
      </c>
      <c r="B21" s="545"/>
      <c r="C21" s="545"/>
      <c r="D21" s="545"/>
      <c r="E21" s="545"/>
      <c r="F21" s="545"/>
      <c r="G21" s="545"/>
      <c r="H21" s="545"/>
      <c r="I21" s="545"/>
      <c r="J21" s="545"/>
      <c r="K21" s="545"/>
      <c r="L21" s="545"/>
      <c r="M21" s="545"/>
      <c r="N21" s="545"/>
      <c r="O21" s="545"/>
    </row>
    <row r="22" spans="1:15" ht="18.75">
      <c r="A22" s="306"/>
    </row>
    <row r="23" spans="1:15" ht="18.75">
      <c r="A23" s="546" t="s">
        <v>63</v>
      </c>
      <c r="B23" s="546"/>
      <c r="C23" s="546"/>
      <c r="D23" s="546"/>
      <c r="E23" s="546"/>
      <c r="F23" s="546"/>
      <c r="G23" s="546"/>
      <c r="H23" s="546"/>
      <c r="I23" s="546"/>
      <c r="J23" s="546"/>
      <c r="K23" s="546"/>
      <c r="L23" s="546"/>
      <c r="M23" s="546"/>
      <c r="N23" s="546"/>
      <c r="O23" s="546"/>
    </row>
    <row r="24" spans="1:15" ht="18.75">
      <c r="A24" s="545" t="s">
        <v>551</v>
      </c>
      <c r="B24" s="545"/>
      <c r="C24" s="545"/>
      <c r="D24" s="545"/>
      <c r="E24" s="545"/>
      <c r="F24" s="545"/>
      <c r="G24" s="545"/>
      <c r="H24" s="545"/>
      <c r="I24" s="545"/>
      <c r="J24" s="545"/>
      <c r="K24" s="545"/>
      <c r="L24" s="545"/>
      <c r="M24" s="545"/>
      <c r="N24" s="545"/>
      <c r="O24" s="545"/>
    </row>
    <row r="25" spans="1:15" ht="14.25" customHeight="1">
      <c r="A25" s="307"/>
      <c r="B25" s="605" t="s">
        <v>662</v>
      </c>
      <c r="C25" s="308"/>
    </row>
    <row r="26" spans="1:15">
      <c r="A26" s="309"/>
      <c r="B26" s="606"/>
      <c r="C26" s="310"/>
    </row>
    <row r="27" spans="1:15" ht="27" customHeight="1">
      <c r="A27" s="602" t="s">
        <v>549</v>
      </c>
      <c r="B27" s="603"/>
      <c r="C27" s="604"/>
    </row>
    <row r="28" spans="1:15" ht="27" customHeight="1">
      <c r="A28" s="602" t="s">
        <v>556</v>
      </c>
      <c r="B28" s="603"/>
      <c r="C28" s="604"/>
    </row>
    <row r="29" spans="1:15" ht="13.5" customHeight="1">
      <c r="A29" s="602" t="s">
        <v>53</v>
      </c>
      <c r="B29" s="603"/>
      <c r="C29" s="604"/>
    </row>
    <row r="30" spans="1:15" ht="27" customHeight="1">
      <c r="A30" s="602" t="s">
        <v>791</v>
      </c>
      <c r="B30" s="603"/>
      <c r="C30" s="604"/>
    </row>
    <row r="31" spans="1:15" ht="40.5" customHeight="1">
      <c r="A31" s="602" t="s">
        <v>336</v>
      </c>
      <c r="B31" s="603"/>
      <c r="C31" s="604"/>
    </row>
    <row r="32" spans="1:15" ht="27" customHeight="1">
      <c r="A32" s="602" t="s">
        <v>793</v>
      </c>
      <c r="B32" s="603"/>
      <c r="C32" s="604"/>
    </row>
    <row r="33" spans="1:6" ht="40.5" customHeight="1">
      <c r="A33" s="602" t="s">
        <v>332</v>
      </c>
      <c r="B33" s="603"/>
      <c r="C33" s="604"/>
    </row>
    <row r="34" spans="1:6" ht="54" customHeight="1">
      <c r="A34" s="602" t="s">
        <v>312</v>
      </c>
      <c r="B34" s="603"/>
      <c r="C34" s="604"/>
    </row>
    <row r="35" spans="1:6" ht="13.5" customHeight="1">
      <c r="A35" s="602" t="s">
        <v>65</v>
      </c>
      <c r="B35" s="603"/>
      <c r="C35" s="604"/>
    </row>
    <row r="36" spans="1:6" ht="40.5" customHeight="1">
      <c r="A36" s="602" t="s">
        <v>271</v>
      </c>
      <c r="B36" s="603"/>
      <c r="C36" s="604"/>
    </row>
    <row r="37" spans="1:6" ht="27" customHeight="1">
      <c r="A37" s="602" t="s">
        <v>792</v>
      </c>
      <c r="B37" s="603"/>
      <c r="C37" s="604"/>
    </row>
    <row r="38" spans="1:6" ht="40.5" customHeight="1">
      <c r="A38" s="607" t="s">
        <v>80</v>
      </c>
      <c r="B38" s="608"/>
      <c r="C38" s="609"/>
    </row>
    <row r="39" spans="1:6" ht="56.25">
      <c r="A39" s="299" t="s">
        <v>430</v>
      </c>
    </row>
    <row r="40" spans="1:6" ht="409.5">
      <c r="A40" s="299" t="s">
        <v>5</v>
      </c>
    </row>
    <row r="41" spans="1:6">
      <c r="A41" s="585" t="s">
        <v>154</v>
      </c>
      <c r="B41" s="586"/>
      <c r="C41" s="587"/>
      <c r="D41" s="311" t="s">
        <v>686</v>
      </c>
      <c r="E41" s="311" t="s">
        <v>663</v>
      </c>
      <c r="F41" s="311" t="s">
        <v>198</v>
      </c>
    </row>
    <row r="42" spans="1:6" ht="60">
      <c r="A42" s="558" t="s">
        <v>179</v>
      </c>
      <c r="B42" s="590"/>
      <c r="C42" s="559"/>
      <c r="D42" s="312" t="s">
        <v>196</v>
      </c>
      <c r="E42" s="313" t="s">
        <v>837</v>
      </c>
      <c r="F42" s="307"/>
    </row>
    <row r="43" spans="1:6" ht="96">
      <c r="A43" s="592" t="s">
        <v>174</v>
      </c>
      <c r="B43" s="593"/>
      <c r="C43" s="594"/>
      <c r="D43" s="312" t="s">
        <v>178</v>
      </c>
      <c r="E43" s="313" t="s">
        <v>816</v>
      </c>
      <c r="F43" s="307"/>
    </row>
    <row r="44" spans="1:6" ht="120">
      <c r="A44" s="558" t="s">
        <v>191</v>
      </c>
      <c r="B44" s="590"/>
      <c r="C44" s="559"/>
      <c r="D44" s="312" t="s">
        <v>185</v>
      </c>
      <c r="E44" s="313" t="s">
        <v>828</v>
      </c>
      <c r="F44" s="307"/>
    </row>
    <row r="45" spans="1:6" ht="48">
      <c r="A45" s="560" t="s">
        <v>181</v>
      </c>
      <c r="B45" s="591"/>
      <c r="C45" s="561"/>
      <c r="D45" s="583" t="s">
        <v>197</v>
      </c>
      <c r="E45" s="315" t="s">
        <v>850</v>
      </c>
      <c r="F45" s="571"/>
    </row>
    <row r="46" spans="1:6" ht="48">
      <c r="A46" s="598"/>
      <c r="B46" s="599"/>
      <c r="C46" s="600"/>
      <c r="D46" s="584"/>
      <c r="E46" s="313" t="s">
        <v>849</v>
      </c>
      <c r="F46" s="573"/>
    </row>
    <row r="47" spans="1:6" ht="168">
      <c r="A47" s="598"/>
      <c r="B47" s="599"/>
      <c r="C47" s="600"/>
      <c r="D47" s="583" t="s">
        <v>201</v>
      </c>
      <c r="E47" s="315" t="s">
        <v>814</v>
      </c>
      <c r="F47" s="571"/>
    </row>
    <row r="48" spans="1:6" ht="96">
      <c r="A48" s="598"/>
      <c r="B48" s="599"/>
      <c r="C48" s="600"/>
      <c r="D48" s="584"/>
      <c r="E48" s="313" t="s">
        <v>852</v>
      </c>
      <c r="F48" s="573"/>
    </row>
    <row r="49" spans="1:6" ht="36">
      <c r="A49" s="598"/>
      <c r="B49" s="599"/>
      <c r="C49" s="600"/>
      <c r="D49" s="312" t="s">
        <v>186</v>
      </c>
      <c r="E49" s="313" t="s">
        <v>862</v>
      </c>
      <c r="F49" s="307"/>
    </row>
    <row r="50" spans="1:6" ht="24">
      <c r="A50" s="562"/>
      <c r="B50" s="601"/>
      <c r="C50" s="563"/>
      <c r="D50" s="312" t="s">
        <v>648</v>
      </c>
      <c r="E50" s="313" t="s">
        <v>847</v>
      </c>
      <c r="F50" s="307"/>
    </row>
    <row r="51" spans="1:6" ht="108">
      <c r="A51" s="595" t="s">
        <v>679</v>
      </c>
      <c r="B51" s="596"/>
      <c r="C51" s="596"/>
      <c r="D51" s="597"/>
      <c r="E51" s="313" t="s">
        <v>810</v>
      </c>
      <c r="F51" s="307"/>
    </row>
    <row r="52" spans="1:6" ht="48">
      <c r="A52" s="595" t="s">
        <v>661</v>
      </c>
      <c r="B52" s="596"/>
      <c r="C52" s="596"/>
      <c r="D52" s="597"/>
      <c r="E52" s="313" t="s">
        <v>865</v>
      </c>
      <c r="F52" s="307"/>
    </row>
    <row r="53" spans="1:6" ht="36">
      <c r="A53" s="595" t="s">
        <v>695</v>
      </c>
      <c r="B53" s="596"/>
      <c r="C53" s="596"/>
      <c r="D53" s="597"/>
      <c r="E53" s="313" t="s">
        <v>863</v>
      </c>
      <c r="F53" s="307"/>
    </row>
    <row r="54" spans="1:6">
      <c r="A54" s="558" t="s">
        <v>188</v>
      </c>
      <c r="B54" s="590"/>
      <c r="C54" s="559"/>
      <c r="D54" s="312" t="s">
        <v>650</v>
      </c>
      <c r="E54" s="307"/>
      <c r="F54" s="307"/>
    </row>
    <row r="55" spans="1:6" ht="24">
      <c r="A55" s="560"/>
      <c r="B55" s="591"/>
      <c r="C55" s="561"/>
      <c r="D55" s="312" t="s">
        <v>71</v>
      </c>
      <c r="E55" s="307"/>
      <c r="F55" s="307"/>
    </row>
    <row r="56" spans="1:6">
      <c r="A56" s="560"/>
      <c r="B56" s="591"/>
      <c r="C56" s="561"/>
      <c r="D56" s="314" t="s">
        <v>188</v>
      </c>
      <c r="E56" s="571"/>
      <c r="F56" s="571"/>
    </row>
    <row r="57" spans="1:6">
      <c r="A57" s="560"/>
      <c r="B57" s="591"/>
      <c r="C57" s="561"/>
      <c r="D57" s="312" t="s">
        <v>690</v>
      </c>
      <c r="E57" s="573"/>
      <c r="F57" s="573"/>
    </row>
    <row r="58" spans="1:6">
      <c r="A58" s="560"/>
      <c r="B58" s="591"/>
      <c r="C58" s="561"/>
      <c r="D58" s="312" t="s">
        <v>649</v>
      </c>
      <c r="E58" s="307"/>
      <c r="F58" s="307"/>
    </row>
    <row r="59" spans="1:6">
      <c r="A59" s="560"/>
      <c r="B59" s="591"/>
      <c r="C59" s="561"/>
      <c r="D59" s="312" t="s">
        <v>193</v>
      </c>
      <c r="E59" s="307"/>
      <c r="F59" s="307"/>
    </row>
    <row r="60" spans="1:6" ht="48">
      <c r="A60" s="592"/>
      <c r="B60" s="593"/>
      <c r="C60" s="594"/>
      <c r="D60" s="312" t="s">
        <v>194</v>
      </c>
      <c r="E60" s="313" t="s">
        <v>310</v>
      </c>
      <c r="F60" s="307"/>
    </row>
    <row r="61" spans="1:6" ht="48">
      <c r="A61" s="595" t="s">
        <v>693</v>
      </c>
      <c r="B61" s="596"/>
      <c r="C61" s="596"/>
      <c r="D61" s="597"/>
      <c r="E61" s="313" t="s">
        <v>861</v>
      </c>
      <c r="F61" s="307"/>
    </row>
    <row r="62" spans="1:6" ht="60">
      <c r="A62" s="316" t="s">
        <v>180</v>
      </c>
      <c r="B62" s="314" t="s">
        <v>200</v>
      </c>
      <c r="C62" s="314" t="s">
        <v>184</v>
      </c>
      <c r="D62" s="312" t="s">
        <v>676</v>
      </c>
      <c r="E62" s="313" t="s">
        <v>82</v>
      </c>
      <c r="F62" s="312" t="s">
        <v>521</v>
      </c>
    </row>
    <row r="63" spans="1:6" ht="36">
      <c r="A63" s="316" t="s">
        <v>519</v>
      </c>
      <c r="B63" s="319"/>
      <c r="C63" s="314" t="s">
        <v>175</v>
      </c>
      <c r="D63" s="312" t="s">
        <v>653</v>
      </c>
      <c r="E63" s="313" t="s">
        <v>864</v>
      </c>
      <c r="F63" s="312" t="s">
        <v>521</v>
      </c>
    </row>
    <row r="64" spans="1:6" ht="108">
      <c r="A64" s="316" t="s">
        <v>190</v>
      </c>
      <c r="B64" s="319"/>
      <c r="C64" s="314" t="s">
        <v>190</v>
      </c>
      <c r="D64" s="312" t="s">
        <v>694</v>
      </c>
      <c r="E64" s="313" t="s">
        <v>829</v>
      </c>
      <c r="F64" s="312" t="s">
        <v>521</v>
      </c>
    </row>
    <row r="65" spans="1:6" ht="84">
      <c r="A65" s="316" t="s">
        <v>182</v>
      </c>
      <c r="B65" s="319"/>
      <c r="C65" s="314" t="s">
        <v>182</v>
      </c>
      <c r="D65" s="583" t="s">
        <v>189</v>
      </c>
      <c r="E65" s="315" t="s">
        <v>825</v>
      </c>
      <c r="F65" s="314" t="s">
        <v>685</v>
      </c>
    </row>
    <row r="66" spans="1:6" ht="36">
      <c r="A66" s="317"/>
      <c r="B66" s="314" t="s">
        <v>187</v>
      </c>
      <c r="C66" s="320"/>
      <c r="D66" s="588"/>
      <c r="E66" s="315" t="s">
        <v>866</v>
      </c>
      <c r="F66" s="314" t="s">
        <v>607</v>
      </c>
    </row>
    <row r="67" spans="1:6" ht="48">
      <c r="A67" s="317"/>
      <c r="B67" s="320"/>
      <c r="C67" s="320"/>
      <c r="D67" s="584"/>
      <c r="E67" s="313" t="s">
        <v>84</v>
      </c>
      <c r="F67" s="321"/>
    </row>
    <row r="68" spans="1:6" ht="21.75" customHeight="1">
      <c r="A68" s="317"/>
      <c r="B68" s="320"/>
      <c r="C68" s="320"/>
      <c r="D68" s="314" t="s">
        <v>677</v>
      </c>
      <c r="E68" s="569" t="s">
        <v>834</v>
      </c>
      <c r="F68" s="314" t="s">
        <v>685</v>
      </c>
    </row>
    <row r="69" spans="1:6">
      <c r="A69" s="317"/>
      <c r="B69" s="320"/>
      <c r="C69" s="320"/>
      <c r="D69" s="312" t="s">
        <v>673</v>
      </c>
      <c r="E69" s="570"/>
      <c r="F69" s="312" t="s">
        <v>607</v>
      </c>
    </row>
    <row r="70" spans="1:6" ht="33.75" customHeight="1">
      <c r="A70" s="317"/>
      <c r="B70" s="320"/>
      <c r="C70" s="320"/>
      <c r="D70" s="583" t="s">
        <v>177</v>
      </c>
      <c r="E70" s="569" t="s">
        <v>815</v>
      </c>
      <c r="F70" s="314" t="s">
        <v>681</v>
      </c>
    </row>
    <row r="71" spans="1:6">
      <c r="A71" s="317"/>
      <c r="B71" s="320"/>
      <c r="C71" s="320"/>
      <c r="D71" s="584"/>
      <c r="E71" s="570"/>
      <c r="F71" s="312" t="s">
        <v>656</v>
      </c>
    </row>
    <row r="72" spans="1:6" ht="72">
      <c r="A72" s="317"/>
      <c r="B72" s="320"/>
      <c r="C72" s="320"/>
      <c r="D72" s="583" t="s">
        <v>195</v>
      </c>
      <c r="E72" s="315" t="s">
        <v>840</v>
      </c>
      <c r="F72" s="314" t="s">
        <v>681</v>
      </c>
    </row>
    <row r="73" spans="1:6" ht="72">
      <c r="A73" s="317"/>
      <c r="B73" s="320"/>
      <c r="C73" s="320"/>
      <c r="D73" s="584"/>
      <c r="E73" s="313" t="s">
        <v>827</v>
      </c>
      <c r="F73" s="312" t="s">
        <v>656</v>
      </c>
    </row>
    <row r="74" spans="1:6" ht="60">
      <c r="A74" s="317"/>
      <c r="B74" s="320"/>
      <c r="C74" s="320"/>
      <c r="D74" s="314" t="s">
        <v>176</v>
      </c>
      <c r="E74" s="315" t="s">
        <v>824</v>
      </c>
      <c r="F74" s="314" t="s">
        <v>681</v>
      </c>
    </row>
    <row r="75" spans="1:6" ht="84">
      <c r="A75" s="317"/>
      <c r="B75" s="320"/>
      <c r="C75" s="320"/>
      <c r="D75" s="312" t="s">
        <v>700</v>
      </c>
      <c r="E75" s="313" t="s">
        <v>853</v>
      </c>
      <c r="F75" s="312" t="s">
        <v>656</v>
      </c>
    </row>
    <row r="76" spans="1:6" ht="33.75" customHeight="1">
      <c r="A76" s="317"/>
      <c r="B76" s="320"/>
      <c r="C76" s="320"/>
      <c r="D76" s="314" t="s">
        <v>684</v>
      </c>
      <c r="E76" s="569" t="s">
        <v>815</v>
      </c>
      <c r="F76" s="314" t="s">
        <v>658</v>
      </c>
    </row>
    <row r="77" spans="1:6">
      <c r="A77" s="318"/>
      <c r="B77" s="321"/>
      <c r="C77" s="321"/>
      <c r="D77" s="312" t="s">
        <v>674</v>
      </c>
      <c r="E77" s="570"/>
      <c r="F77" s="312" t="s">
        <v>656</v>
      </c>
    </row>
    <row r="78" spans="1:6">
      <c r="A78" s="585" t="s">
        <v>154</v>
      </c>
      <c r="B78" s="586"/>
      <c r="C78" s="587"/>
      <c r="D78" s="322" t="s">
        <v>686</v>
      </c>
      <c r="E78" s="322" t="s">
        <v>663</v>
      </c>
      <c r="F78" s="322" t="s">
        <v>198</v>
      </c>
    </row>
    <row r="79" spans="1:6" ht="48">
      <c r="A79" s="571"/>
      <c r="B79" s="571"/>
      <c r="C79" s="571"/>
      <c r="D79" s="583" t="s">
        <v>668</v>
      </c>
      <c r="E79" s="315" t="s">
        <v>815</v>
      </c>
      <c r="F79" s="314" t="s">
        <v>658</v>
      </c>
    </row>
    <row r="80" spans="1:6" ht="120">
      <c r="A80" s="572"/>
      <c r="B80" s="572"/>
      <c r="C80" s="572"/>
      <c r="D80" s="584"/>
      <c r="E80" s="323" t="s">
        <v>381</v>
      </c>
      <c r="F80" s="312" t="s">
        <v>656</v>
      </c>
    </row>
    <row r="81" spans="1:6" ht="33.75" customHeight="1">
      <c r="A81" s="572"/>
      <c r="B81" s="572"/>
      <c r="C81" s="572"/>
      <c r="D81" s="314" t="s">
        <v>671</v>
      </c>
      <c r="E81" s="569" t="s">
        <v>83</v>
      </c>
      <c r="F81" s="314" t="s">
        <v>658</v>
      </c>
    </row>
    <row r="82" spans="1:6">
      <c r="A82" s="572"/>
      <c r="B82" s="572"/>
      <c r="C82" s="573"/>
      <c r="D82" s="312" t="s">
        <v>670</v>
      </c>
      <c r="E82" s="570"/>
      <c r="F82" s="312" t="s">
        <v>656</v>
      </c>
    </row>
    <row r="83" spans="1:6" ht="44.25" customHeight="1">
      <c r="A83" s="572"/>
      <c r="B83" s="572"/>
      <c r="C83" s="314" t="s">
        <v>192</v>
      </c>
      <c r="D83" s="583" t="s">
        <v>224</v>
      </c>
      <c r="E83" s="569" t="s">
        <v>839</v>
      </c>
      <c r="F83" s="314" t="s">
        <v>688</v>
      </c>
    </row>
    <row r="84" spans="1:6">
      <c r="A84" s="572"/>
      <c r="B84" s="572"/>
      <c r="C84" s="314" t="s">
        <v>183</v>
      </c>
      <c r="D84" s="588"/>
      <c r="E84" s="589"/>
      <c r="F84" s="324">
        <v>45687</v>
      </c>
    </row>
    <row r="85" spans="1:6">
      <c r="A85" s="572"/>
      <c r="B85" s="572"/>
      <c r="C85" s="314" t="s">
        <v>190</v>
      </c>
      <c r="D85" s="584"/>
      <c r="E85" s="570"/>
      <c r="F85" s="321"/>
    </row>
    <row r="86" spans="1:6" ht="24">
      <c r="A86" s="572"/>
      <c r="B86" s="572"/>
      <c r="C86" s="314" t="s">
        <v>182</v>
      </c>
      <c r="D86" s="583" t="s">
        <v>215</v>
      </c>
      <c r="E86" s="315" t="s">
        <v>848</v>
      </c>
      <c r="F86" s="314" t="s">
        <v>647</v>
      </c>
    </row>
    <row r="87" spans="1:6" ht="264">
      <c r="A87" s="572"/>
      <c r="B87" s="573"/>
      <c r="C87" s="321"/>
      <c r="D87" s="584"/>
      <c r="E87" s="313" t="s">
        <v>842</v>
      </c>
      <c r="F87" s="325">
        <v>45677</v>
      </c>
    </row>
    <row r="88" spans="1:6" ht="36">
      <c r="A88" s="572"/>
      <c r="B88" s="319"/>
      <c r="C88" s="314" t="s">
        <v>184</v>
      </c>
      <c r="D88" s="583" t="s">
        <v>189</v>
      </c>
      <c r="E88" s="315" t="s">
        <v>866</v>
      </c>
      <c r="F88" s="314" t="s">
        <v>660</v>
      </c>
    </row>
    <row r="89" spans="1:6" ht="48">
      <c r="A89" s="572"/>
      <c r="B89" s="314" t="s">
        <v>519</v>
      </c>
      <c r="C89" s="314" t="s">
        <v>175</v>
      </c>
      <c r="D89" s="588"/>
      <c r="E89" s="315" t="s">
        <v>84</v>
      </c>
      <c r="F89" s="314" t="s">
        <v>607</v>
      </c>
    </row>
    <row r="90" spans="1:6" ht="84">
      <c r="A90" s="572"/>
      <c r="B90" s="319"/>
      <c r="C90" s="314" t="s">
        <v>190</v>
      </c>
      <c r="D90" s="588"/>
      <c r="E90" s="315" t="s">
        <v>338</v>
      </c>
      <c r="F90" s="320"/>
    </row>
    <row r="91" spans="1:6" ht="48">
      <c r="A91" s="572"/>
      <c r="B91" s="319"/>
      <c r="C91" s="314" t="s">
        <v>182</v>
      </c>
      <c r="D91" s="584"/>
      <c r="E91" s="313" t="s">
        <v>346</v>
      </c>
      <c r="F91" s="321"/>
    </row>
    <row r="92" spans="1:6" ht="36">
      <c r="A92" s="572"/>
      <c r="B92" s="319"/>
      <c r="C92" s="320"/>
      <c r="D92" s="326" t="s">
        <v>677</v>
      </c>
      <c r="E92" s="315" t="s">
        <v>833</v>
      </c>
      <c r="F92" s="314" t="s">
        <v>660</v>
      </c>
    </row>
    <row r="93" spans="1:6" ht="36">
      <c r="A93" s="572"/>
      <c r="B93" s="314" t="s">
        <v>212</v>
      </c>
      <c r="C93" s="320"/>
      <c r="D93" s="323" t="s">
        <v>700</v>
      </c>
      <c r="E93" s="313" t="s">
        <v>832</v>
      </c>
      <c r="F93" s="312" t="s">
        <v>607</v>
      </c>
    </row>
    <row r="94" spans="1:6" ht="82.5" customHeight="1">
      <c r="A94" s="572"/>
      <c r="B94" s="320"/>
      <c r="C94" s="320"/>
      <c r="D94" s="556" t="s">
        <v>177</v>
      </c>
      <c r="E94" s="569" t="s">
        <v>817</v>
      </c>
      <c r="F94" s="314" t="s">
        <v>658</v>
      </c>
    </row>
    <row r="95" spans="1:6">
      <c r="A95" s="572"/>
      <c r="B95" s="320"/>
      <c r="C95" s="320"/>
      <c r="D95" s="557"/>
      <c r="E95" s="570"/>
      <c r="F95" s="312" t="s">
        <v>656</v>
      </c>
    </row>
    <row r="96" spans="1:6" ht="96">
      <c r="A96" s="572"/>
      <c r="B96" s="320"/>
      <c r="C96" s="320"/>
      <c r="D96" s="556" t="s">
        <v>195</v>
      </c>
      <c r="E96" s="315" t="s">
        <v>821</v>
      </c>
      <c r="F96" s="314" t="s">
        <v>658</v>
      </c>
    </row>
    <row r="97" spans="1:6" ht="72">
      <c r="A97" s="572"/>
      <c r="B97" s="320"/>
      <c r="C97" s="320"/>
      <c r="D97" s="557"/>
      <c r="E97" s="313" t="s">
        <v>827</v>
      </c>
      <c r="F97" s="312" t="s">
        <v>656</v>
      </c>
    </row>
    <row r="98" spans="1:6" ht="93.75" customHeight="1">
      <c r="A98" s="572"/>
      <c r="B98" s="320"/>
      <c r="C98" s="320"/>
      <c r="D98" s="326" t="s">
        <v>176</v>
      </c>
      <c r="E98" s="569" t="s">
        <v>831</v>
      </c>
      <c r="F98" s="314" t="s">
        <v>658</v>
      </c>
    </row>
    <row r="99" spans="1:6">
      <c r="A99" s="572"/>
      <c r="B99" s="320"/>
      <c r="C99" s="320"/>
      <c r="D99" s="323" t="s">
        <v>700</v>
      </c>
      <c r="E99" s="570"/>
      <c r="F99" s="312" t="s">
        <v>656</v>
      </c>
    </row>
    <row r="100" spans="1:6" ht="82.5" customHeight="1">
      <c r="A100" s="572"/>
      <c r="B100" s="320"/>
      <c r="C100" s="320"/>
      <c r="D100" s="326" t="s">
        <v>684</v>
      </c>
      <c r="E100" s="569" t="s">
        <v>817</v>
      </c>
      <c r="F100" s="314" t="s">
        <v>658</v>
      </c>
    </row>
    <row r="101" spans="1:6">
      <c r="A101" s="572"/>
      <c r="B101" s="320"/>
      <c r="C101" s="320"/>
      <c r="D101" s="323" t="s">
        <v>674</v>
      </c>
      <c r="E101" s="570"/>
      <c r="F101" s="312" t="s">
        <v>656</v>
      </c>
    </row>
    <row r="102" spans="1:6" ht="81.75" customHeight="1">
      <c r="A102" s="572"/>
      <c r="B102" s="320"/>
      <c r="C102" s="320"/>
      <c r="D102" s="556" t="s">
        <v>668</v>
      </c>
      <c r="E102" s="569" t="s">
        <v>818</v>
      </c>
      <c r="F102" s="314" t="s">
        <v>658</v>
      </c>
    </row>
    <row r="103" spans="1:6">
      <c r="A103" s="572"/>
      <c r="B103" s="320"/>
      <c r="C103" s="320"/>
      <c r="D103" s="557"/>
      <c r="E103" s="570"/>
      <c r="F103" s="312" t="s">
        <v>656</v>
      </c>
    </row>
    <row r="104" spans="1:6" ht="81.75" customHeight="1">
      <c r="A104" s="572"/>
      <c r="B104" s="320"/>
      <c r="C104" s="320"/>
      <c r="D104" s="326" t="s">
        <v>671</v>
      </c>
      <c r="E104" s="569" t="s">
        <v>820</v>
      </c>
      <c r="F104" s="314" t="s">
        <v>681</v>
      </c>
    </row>
    <row r="105" spans="1:6">
      <c r="A105" s="572"/>
      <c r="B105" s="320"/>
      <c r="C105" s="320"/>
      <c r="D105" s="323" t="s">
        <v>670</v>
      </c>
      <c r="E105" s="570"/>
      <c r="F105" s="312" t="s">
        <v>656</v>
      </c>
    </row>
    <row r="106" spans="1:6" ht="81.75" customHeight="1">
      <c r="A106" s="572"/>
      <c r="B106" s="320"/>
      <c r="C106" s="320"/>
      <c r="D106" s="556" t="s">
        <v>118</v>
      </c>
      <c r="E106" s="569" t="s">
        <v>822</v>
      </c>
      <c r="F106" s="314" t="s">
        <v>698</v>
      </c>
    </row>
    <row r="107" spans="1:6">
      <c r="A107" s="572"/>
      <c r="B107" s="320"/>
      <c r="C107" s="321"/>
      <c r="D107" s="557"/>
      <c r="E107" s="570"/>
      <c r="F107" s="312" t="s">
        <v>697</v>
      </c>
    </row>
    <row r="108" spans="1:6" ht="57.75" customHeight="1">
      <c r="A108" s="572"/>
      <c r="B108" s="320"/>
      <c r="C108" s="571"/>
      <c r="D108" s="556" t="s">
        <v>224</v>
      </c>
      <c r="E108" s="569" t="s">
        <v>836</v>
      </c>
      <c r="F108" s="314" t="s">
        <v>720</v>
      </c>
    </row>
    <row r="109" spans="1:6">
      <c r="A109" s="572"/>
      <c r="B109" s="320"/>
      <c r="C109" s="572"/>
      <c r="D109" s="557"/>
      <c r="E109" s="570"/>
      <c r="F109" s="325">
        <v>45687</v>
      </c>
    </row>
    <row r="110" spans="1:6" ht="21.75" customHeight="1">
      <c r="A110" s="572"/>
      <c r="B110" s="320"/>
      <c r="C110" s="572"/>
      <c r="D110" s="556" t="s">
        <v>215</v>
      </c>
      <c r="E110" s="569" t="s">
        <v>846</v>
      </c>
      <c r="F110" s="314" t="s">
        <v>647</v>
      </c>
    </row>
    <row r="111" spans="1:6">
      <c r="A111" s="572"/>
      <c r="B111" s="321"/>
      <c r="C111" s="573"/>
      <c r="D111" s="557"/>
      <c r="E111" s="570"/>
      <c r="F111" s="325">
        <v>45677</v>
      </c>
    </row>
    <row r="112" spans="1:6" ht="48">
      <c r="A112" s="572"/>
      <c r="B112" s="558" t="s">
        <v>213</v>
      </c>
      <c r="C112" s="559"/>
      <c r="D112" s="323" t="s">
        <v>725</v>
      </c>
      <c r="E112" s="313" t="s">
        <v>808</v>
      </c>
      <c r="F112" s="312" t="s">
        <v>521</v>
      </c>
    </row>
    <row r="113" spans="1:6" ht="84">
      <c r="A113" s="572"/>
      <c r="B113" s="560" t="s">
        <v>205</v>
      </c>
      <c r="C113" s="561"/>
      <c r="D113" s="323" t="s">
        <v>431</v>
      </c>
      <c r="E113" s="313" t="s">
        <v>337</v>
      </c>
      <c r="F113" s="312" t="s">
        <v>521</v>
      </c>
    </row>
    <row r="114" spans="1:6" ht="48">
      <c r="A114" s="573"/>
      <c r="B114" s="562"/>
      <c r="C114" s="563"/>
      <c r="D114" s="323" t="s">
        <v>730</v>
      </c>
      <c r="E114" s="313" t="s">
        <v>845</v>
      </c>
      <c r="F114" s="312" t="s">
        <v>521</v>
      </c>
    </row>
    <row r="115" spans="1:6" ht="60">
      <c r="A115" s="564" t="s">
        <v>727</v>
      </c>
      <c r="B115" s="565"/>
      <c r="C115" s="565"/>
      <c r="D115" s="566"/>
      <c r="E115" s="313" t="s">
        <v>844</v>
      </c>
      <c r="F115" s="307"/>
    </row>
    <row r="116" spans="1:6" ht="108">
      <c r="A116" s="301" t="s">
        <v>251</v>
      </c>
    </row>
    <row r="117" spans="1:6" ht="84">
      <c r="A117" s="301" t="s">
        <v>327</v>
      </c>
    </row>
    <row r="118" spans="1:6" ht="356.25">
      <c r="A118" s="299" t="s">
        <v>314</v>
      </c>
    </row>
    <row r="119" spans="1:6">
      <c r="A119" s="327"/>
    </row>
    <row r="120" spans="1:6" ht="54">
      <c r="A120" s="328" t="s">
        <v>97</v>
      </c>
    </row>
    <row r="121" spans="1:6">
      <c r="A121" s="567" t="s">
        <v>202</v>
      </c>
      <c r="B121" s="568"/>
      <c r="C121" s="329" t="s">
        <v>707</v>
      </c>
    </row>
    <row r="122" spans="1:6" ht="24">
      <c r="A122" s="316" t="s">
        <v>220</v>
      </c>
      <c r="B122" s="556" t="s">
        <v>717</v>
      </c>
      <c r="C122" s="323" t="s">
        <v>78</v>
      </c>
    </row>
    <row r="123" spans="1:6" ht="24">
      <c r="A123" s="316" t="s">
        <v>217</v>
      </c>
      <c r="B123" s="557"/>
      <c r="C123" s="323" t="s">
        <v>58</v>
      </c>
    </row>
    <row r="124" spans="1:6" ht="48">
      <c r="A124" s="316" t="s">
        <v>216</v>
      </c>
      <c r="B124" s="323" t="s">
        <v>692</v>
      </c>
      <c r="C124" s="323" t="s">
        <v>561</v>
      </c>
    </row>
    <row r="125" spans="1:6" ht="36">
      <c r="A125" s="316" t="s">
        <v>204</v>
      </c>
      <c r="B125" s="323" t="s">
        <v>67</v>
      </c>
      <c r="C125" s="323" t="s">
        <v>62</v>
      </c>
    </row>
    <row r="126" spans="1:6" ht="72">
      <c r="A126" s="318"/>
      <c r="B126" s="323" t="s">
        <v>435</v>
      </c>
      <c r="C126" s="323" t="s">
        <v>11</v>
      </c>
    </row>
    <row r="127" spans="1:6" ht="108">
      <c r="A127" s="316" t="s">
        <v>200</v>
      </c>
      <c r="B127" s="323" t="s">
        <v>729</v>
      </c>
      <c r="C127" s="323" t="s">
        <v>237</v>
      </c>
    </row>
    <row r="128" spans="1:6" ht="96">
      <c r="A128" s="316" t="s">
        <v>187</v>
      </c>
      <c r="B128" s="323" t="s">
        <v>689</v>
      </c>
      <c r="C128" s="323" t="s">
        <v>258</v>
      </c>
    </row>
    <row r="129" spans="1:5" ht="108">
      <c r="A129" s="316" t="s">
        <v>216</v>
      </c>
      <c r="B129" s="323" t="s">
        <v>699</v>
      </c>
      <c r="C129" s="323" t="s">
        <v>387</v>
      </c>
    </row>
    <row r="130" spans="1:5" ht="120">
      <c r="A130" s="316" t="s">
        <v>204</v>
      </c>
      <c r="B130" s="323" t="s">
        <v>703</v>
      </c>
      <c r="C130" s="323" t="s">
        <v>240</v>
      </c>
    </row>
    <row r="131" spans="1:5" ht="96">
      <c r="A131" s="317"/>
      <c r="B131" s="323" t="s">
        <v>678</v>
      </c>
      <c r="C131" s="323" t="s">
        <v>263</v>
      </c>
    </row>
    <row r="132" spans="1:5" ht="132">
      <c r="A132" s="317"/>
      <c r="B132" s="323" t="s">
        <v>705</v>
      </c>
      <c r="C132" s="323" t="s">
        <v>229</v>
      </c>
    </row>
    <row r="133" spans="1:5" ht="36">
      <c r="A133" s="317"/>
      <c r="B133" s="323" t="s">
        <v>64</v>
      </c>
      <c r="C133" s="323" t="s">
        <v>93</v>
      </c>
    </row>
    <row r="134" spans="1:5" ht="36">
      <c r="A134" s="317"/>
      <c r="B134" s="323" t="s">
        <v>731</v>
      </c>
      <c r="C134" s="323" t="s">
        <v>93</v>
      </c>
    </row>
    <row r="135" spans="1:5" ht="24">
      <c r="A135" s="317"/>
      <c r="B135" s="326" t="s">
        <v>436</v>
      </c>
      <c r="C135" s="556" t="s">
        <v>93</v>
      </c>
    </row>
    <row r="136" spans="1:5" ht="24">
      <c r="A136" s="318"/>
      <c r="B136" s="323" t="s">
        <v>438</v>
      </c>
      <c r="C136" s="557"/>
    </row>
    <row r="137" spans="1:5">
      <c r="A137" s="327"/>
    </row>
    <row r="138" spans="1:5">
      <c r="A138" s="330"/>
    </row>
    <row r="139" spans="1:5" ht="27">
      <c r="A139" s="328" t="s">
        <v>497</v>
      </c>
    </row>
    <row r="140" spans="1:5">
      <c r="A140" s="567" t="s">
        <v>202</v>
      </c>
      <c r="B140" s="582"/>
      <c r="C140" s="582"/>
      <c r="D140" s="568"/>
      <c r="E140" s="329" t="s">
        <v>707</v>
      </c>
    </row>
    <row r="141" spans="1:5" ht="72">
      <c r="A141" s="316" t="s">
        <v>225</v>
      </c>
      <c r="B141" s="314" t="s">
        <v>226</v>
      </c>
      <c r="C141" s="314" t="s">
        <v>184</v>
      </c>
      <c r="D141" s="323" t="s">
        <v>735</v>
      </c>
      <c r="E141" s="323" t="s">
        <v>10</v>
      </c>
    </row>
    <row r="142" spans="1:5" ht="108">
      <c r="A142" s="331"/>
      <c r="B142" s="314" t="s">
        <v>216</v>
      </c>
      <c r="C142" s="314" t="s">
        <v>175</v>
      </c>
      <c r="D142" s="323" t="s">
        <v>728</v>
      </c>
      <c r="E142" s="323" t="s">
        <v>234</v>
      </c>
    </row>
    <row r="143" spans="1:5" ht="48">
      <c r="A143" s="331"/>
      <c r="B143" s="314" t="s">
        <v>207</v>
      </c>
      <c r="C143" s="314" t="s">
        <v>225</v>
      </c>
      <c r="D143" s="323" t="s">
        <v>701</v>
      </c>
      <c r="E143" s="323" t="s">
        <v>794</v>
      </c>
    </row>
    <row r="144" spans="1:5" ht="156">
      <c r="A144" s="331"/>
      <c r="B144" s="314" t="s">
        <v>135</v>
      </c>
      <c r="C144" s="314" t="s">
        <v>126</v>
      </c>
      <c r="D144" s="323" t="s">
        <v>715</v>
      </c>
      <c r="E144" s="323" t="s">
        <v>288</v>
      </c>
    </row>
    <row r="145" spans="1:5" ht="132">
      <c r="A145" s="331"/>
      <c r="B145" s="314" t="s">
        <v>206</v>
      </c>
      <c r="C145" s="321"/>
      <c r="D145" s="323" t="s">
        <v>696</v>
      </c>
      <c r="E145" s="323" t="s">
        <v>351</v>
      </c>
    </row>
    <row r="146" spans="1:5" ht="48">
      <c r="A146" s="331"/>
      <c r="B146" s="320"/>
      <c r="C146" s="314" t="s">
        <v>140</v>
      </c>
      <c r="D146" s="323" t="s">
        <v>702</v>
      </c>
      <c r="E146" s="323" t="s">
        <v>555</v>
      </c>
    </row>
    <row r="147" spans="1:5" ht="84">
      <c r="A147" s="331"/>
      <c r="B147" s="320"/>
      <c r="C147" s="314" t="s">
        <v>225</v>
      </c>
      <c r="D147" s="323" t="s">
        <v>683</v>
      </c>
      <c r="E147" s="323" t="s">
        <v>333</v>
      </c>
    </row>
    <row r="148" spans="1:5" ht="60">
      <c r="A148" s="316" t="s">
        <v>126</v>
      </c>
      <c r="B148" s="320"/>
      <c r="C148" s="314" t="s">
        <v>126</v>
      </c>
      <c r="D148" s="323" t="s">
        <v>691</v>
      </c>
      <c r="E148" s="323" t="s">
        <v>12</v>
      </c>
    </row>
    <row r="149" spans="1:5" ht="48">
      <c r="A149" s="317"/>
      <c r="B149" s="320"/>
      <c r="C149" s="320"/>
      <c r="D149" s="323" t="s">
        <v>736</v>
      </c>
      <c r="E149" s="323" t="s">
        <v>800</v>
      </c>
    </row>
    <row r="150" spans="1:5" ht="36">
      <c r="A150" s="317"/>
      <c r="B150" s="320"/>
      <c r="C150" s="320"/>
      <c r="D150" s="323" t="s">
        <v>716</v>
      </c>
      <c r="E150" s="323" t="s">
        <v>91</v>
      </c>
    </row>
    <row r="151" spans="1:5" ht="48">
      <c r="A151" s="317"/>
      <c r="B151" s="320"/>
      <c r="C151" s="320"/>
      <c r="D151" s="323" t="s">
        <v>733</v>
      </c>
      <c r="E151" s="323" t="s">
        <v>796</v>
      </c>
    </row>
    <row r="152" spans="1:5" ht="24">
      <c r="A152" s="317"/>
      <c r="B152" s="320"/>
      <c r="C152" s="320"/>
      <c r="D152" s="323" t="s">
        <v>440</v>
      </c>
      <c r="E152" s="323" t="s">
        <v>447</v>
      </c>
    </row>
    <row r="153" spans="1:5" ht="24">
      <c r="A153" s="317"/>
      <c r="B153" s="320"/>
      <c r="C153" s="320"/>
      <c r="D153" s="323" t="s">
        <v>723</v>
      </c>
      <c r="E153" s="323" t="s">
        <v>446</v>
      </c>
    </row>
    <row r="154" spans="1:5" ht="24">
      <c r="A154" s="317"/>
      <c r="B154" s="320"/>
      <c r="C154" s="320"/>
      <c r="D154" s="323" t="s">
        <v>709</v>
      </c>
      <c r="E154" s="323" t="s">
        <v>446</v>
      </c>
    </row>
    <row r="155" spans="1:5" ht="24">
      <c r="A155" s="317"/>
      <c r="B155" s="320"/>
      <c r="C155" s="320"/>
      <c r="D155" s="323" t="s">
        <v>445</v>
      </c>
      <c r="E155" s="323" t="s">
        <v>59</v>
      </c>
    </row>
    <row r="156" spans="1:5" ht="36">
      <c r="A156" s="317"/>
      <c r="B156" s="320"/>
      <c r="C156" s="320"/>
      <c r="D156" s="323" t="s">
        <v>227</v>
      </c>
      <c r="E156" s="323" t="s">
        <v>557</v>
      </c>
    </row>
    <row r="157" spans="1:5" ht="24">
      <c r="A157" s="317"/>
      <c r="B157" s="320"/>
      <c r="C157" s="320"/>
      <c r="D157" s="323" t="s">
        <v>680</v>
      </c>
      <c r="E157" s="323" t="s">
        <v>444</v>
      </c>
    </row>
    <row r="158" spans="1:5" ht="48">
      <c r="A158" s="317"/>
      <c r="B158" s="320"/>
      <c r="C158" s="320"/>
      <c r="D158" s="323" t="s">
        <v>448</v>
      </c>
      <c r="E158" s="323" t="s">
        <v>300</v>
      </c>
    </row>
    <row r="159" spans="1:5" ht="24">
      <c r="A159" s="317"/>
      <c r="B159" s="320"/>
      <c r="C159" s="320"/>
      <c r="D159" s="323" t="s">
        <v>486</v>
      </c>
      <c r="E159" s="323" t="s">
        <v>61</v>
      </c>
    </row>
    <row r="160" spans="1:5" ht="48">
      <c r="A160" s="317"/>
      <c r="B160" s="320"/>
      <c r="C160" s="320"/>
      <c r="D160" s="323" t="s">
        <v>704</v>
      </c>
      <c r="E160" s="323" t="s">
        <v>295</v>
      </c>
    </row>
    <row r="161" spans="1:5" ht="24">
      <c r="A161" s="317"/>
      <c r="B161" s="320"/>
      <c r="C161" s="320"/>
      <c r="D161" s="323" t="s">
        <v>687</v>
      </c>
      <c r="E161" s="323" t="s">
        <v>57</v>
      </c>
    </row>
    <row r="162" spans="1:5" ht="48">
      <c r="A162" s="317"/>
      <c r="B162" s="320"/>
      <c r="C162" s="320"/>
      <c r="D162" s="323" t="s">
        <v>755</v>
      </c>
      <c r="E162" s="323" t="s">
        <v>790</v>
      </c>
    </row>
    <row r="163" spans="1:5" ht="36">
      <c r="A163" s="317"/>
      <c r="B163" s="320"/>
      <c r="C163" s="320"/>
      <c r="D163" s="323" t="s">
        <v>764</v>
      </c>
      <c r="E163" s="323" t="s">
        <v>566</v>
      </c>
    </row>
    <row r="164" spans="1:5" ht="72">
      <c r="A164" s="317"/>
      <c r="B164" s="320"/>
      <c r="C164" s="320"/>
      <c r="D164" s="323" t="s">
        <v>738</v>
      </c>
      <c r="E164" s="323" t="s">
        <v>355</v>
      </c>
    </row>
    <row r="165" spans="1:5" ht="60">
      <c r="A165" s="317"/>
      <c r="B165" s="320"/>
      <c r="C165" s="320"/>
      <c r="D165" s="323" t="s">
        <v>718</v>
      </c>
      <c r="E165" s="323" t="s">
        <v>21</v>
      </c>
    </row>
    <row r="166" spans="1:5">
      <c r="A166" s="317"/>
      <c r="B166" s="321"/>
      <c r="C166" s="321"/>
      <c r="D166" s="323" t="s">
        <v>213</v>
      </c>
      <c r="E166" s="323" t="s">
        <v>221</v>
      </c>
    </row>
    <row r="167" spans="1:5" ht="72">
      <c r="A167" s="317"/>
      <c r="B167" s="314" t="s">
        <v>203</v>
      </c>
      <c r="C167" s="314" t="s">
        <v>184</v>
      </c>
      <c r="D167" s="323" t="s">
        <v>735</v>
      </c>
      <c r="E167" s="323" t="s">
        <v>366</v>
      </c>
    </row>
    <row r="168" spans="1:5" ht="36">
      <c r="A168" s="317"/>
      <c r="B168" s="314" t="s">
        <v>216</v>
      </c>
      <c r="C168" s="314" t="s">
        <v>175</v>
      </c>
      <c r="D168" s="323" t="s">
        <v>728</v>
      </c>
      <c r="E168" s="323" t="s">
        <v>101</v>
      </c>
    </row>
    <row r="169" spans="1:5" ht="60">
      <c r="A169" s="317"/>
      <c r="B169" s="314" t="s">
        <v>206</v>
      </c>
      <c r="C169" s="314" t="s">
        <v>225</v>
      </c>
      <c r="D169" s="323" t="s">
        <v>757</v>
      </c>
      <c r="E169" s="323" t="s">
        <v>299</v>
      </c>
    </row>
    <row r="170" spans="1:5" ht="48">
      <c r="A170" s="317"/>
      <c r="B170" s="332" t="s">
        <v>222</v>
      </c>
      <c r="C170" s="314" t="s">
        <v>126</v>
      </c>
      <c r="D170" s="323" t="s">
        <v>711</v>
      </c>
      <c r="E170" s="323" t="s">
        <v>301</v>
      </c>
    </row>
    <row r="171" spans="1:5" ht="24">
      <c r="A171" s="317"/>
      <c r="B171" s="314" t="s">
        <v>214</v>
      </c>
      <c r="C171" s="320"/>
      <c r="D171" s="323" t="s">
        <v>721</v>
      </c>
      <c r="E171" s="323" t="s">
        <v>494</v>
      </c>
    </row>
    <row r="172" spans="1:5" ht="24">
      <c r="A172" s="318"/>
      <c r="B172" s="314" t="s">
        <v>223</v>
      </c>
      <c r="C172" s="321"/>
      <c r="D172" s="323" t="s">
        <v>706</v>
      </c>
      <c r="E172" s="323" t="s">
        <v>210</v>
      </c>
    </row>
    <row r="173" spans="1:5" ht="60">
      <c r="A173" s="316" t="s">
        <v>225</v>
      </c>
      <c r="B173" s="314" t="s">
        <v>203</v>
      </c>
      <c r="C173" s="314" t="s">
        <v>192</v>
      </c>
      <c r="D173" s="323" t="s">
        <v>753</v>
      </c>
      <c r="E173" s="323" t="s">
        <v>353</v>
      </c>
    </row>
    <row r="174" spans="1:5" ht="48">
      <c r="A174" s="331"/>
      <c r="B174" s="314" t="s">
        <v>206</v>
      </c>
      <c r="C174" s="314" t="s">
        <v>183</v>
      </c>
      <c r="D174" s="323" t="s">
        <v>734</v>
      </c>
      <c r="E174" s="323" t="s">
        <v>787</v>
      </c>
    </row>
    <row r="175" spans="1:5" ht="72">
      <c r="A175" s="331"/>
      <c r="B175" s="314" t="s">
        <v>112</v>
      </c>
      <c r="C175" s="314" t="s">
        <v>225</v>
      </c>
      <c r="D175" s="323" t="s">
        <v>710</v>
      </c>
      <c r="E175" s="323" t="s">
        <v>369</v>
      </c>
    </row>
    <row r="176" spans="1:5" ht="60">
      <c r="A176" s="331"/>
      <c r="B176" s="333" t="s">
        <v>211</v>
      </c>
      <c r="C176" s="312" t="s">
        <v>126</v>
      </c>
      <c r="D176" s="323" t="s">
        <v>213</v>
      </c>
      <c r="E176" s="323" t="s">
        <v>18</v>
      </c>
    </row>
    <row r="177" spans="1:5" ht="60">
      <c r="A177" s="331"/>
      <c r="B177" s="314" t="s">
        <v>523</v>
      </c>
      <c r="C177" s="314" t="s">
        <v>184</v>
      </c>
      <c r="D177" s="323" t="s">
        <v>735</v>
      </c>
      <c r="E177" s="323" t="s">
        <v>24</v>
      </c>
    </row>
    <row r="178" spans="1:5" ht="36">
      <c r="A178" s="331"/>
      <c r="B178" s="314" t="s">
        <v>209</v>
      </c>
      <c r="C178" s="314" t="s">
        <v>175</v>
      </c>
      <c r="D178" s="323" t="s">
        <v>728</v>
      </c>
      <c r="E178" s="323" t="s">
        <v>103</v>
      </c>
    </row>
    <row r="179" spans="1:5" ht="72">
      <c r="A179" s="331"/>
      <c r="B179" s="320"/>
      <c r="C179" s="314" t="s">
        <v>225</v>
      </c>
      <c r="D179" s="323" t="s">
        <v>757</v>
      </c>
      <c r="E179" s="323" t="s">
        <v>370</v>
      </c>
    </row>
    <row r="180" spans="1:5" ht="24">
      <c r="A180" s="316" t="s">
        <v>126</v>
      </c>
      <c r="B180" s="320"/>
      <c r="C180" s="312" t="s">
        <v>126</v>
      </c>
      <c r="D180" s="323" t="s">
        <v>711</v>
      </c>
      <c r="E180" s="323" t="s">
        <v>76</v>
      </c>
    </row>
    <row r="181" spans="1:5">
      <c r="A181" s="317"/>
      <c r="B181" s="320"/>
      <c r="C181" s="314" t="s">
        <v>192</v>
      </c>
      <c r="D181" s="556" t="s">
        <v>712</v>
      </c>
      <c r="E181" s="556" t="s">
        <v>75</v>
      </c>
    </row>
    <row r="182" spans="1:5">
      <c r="A182" s="317"/>
      <c r="B182" s="320"/>
      <c r="C182" s="314" t="s">
        <v>183</v>
      </c>
      <c r="D182" s="557"/>
      <c r="E182" s="557"/>
    </row>
    <row r="183" spans="1:5" ht="84">
      <c r="A183" s="317"/>
      <c r="B183" s="320"/>
      <c r="C183" s="314" t="s">
        <v>225</v>
      </c>
      <c r="D183" s="323" t="s">
        <v>713</v>
      </c>
      <c r="E183" s="323" t="s">
        <v>324</v>
      </c>
    </row>
    <row r="184" spans="1:5" ht="60">
      <c r="A184" s="317"/>
      <c r="B184" s="321"/>
      <c r="C184" s="312" t="s">
        <v>126</v>
      </c>
      <c r="D184" s="323" t="s">
        <v>213</v>
      </c>
      <c r="E184" s="323" t="s">
        <v>26</v>
      </c>
    </row>
    <row r="185" spans="1:5" ht="60">
      <c r="A185" s="317"/>
      <c r="B185" s="314" t="s">
        <v>218</v>
      </c>
      <c r="C185" s="314" t="s">
        <v>184</v>
      </c>
      <c r="D185" s="323" t="s">
        <v>735</v>
      </c>
      <c r="E185" s="323" t="s">
        <v>20</v>
      </c>
    </row>
    <row r="186" spans="1:5" ht="36">
      <c r="A186" s="317"/>
      <c r="B186" s="314" t="s">
        <v>136</v>
      </c>
      <c r="C186" s="314" t="s">
        <v>175</v>
      </c>
      <c r="D186" s="323" t="s">
        <v>728</v>
      </c>
      <c r="E186" s="323" t="s">
        <v>103</v>
      </c>
    </row>
    <row r="187" spans="1:5" ht="48">
      <c r="A187" s="317"/>
      <c r="B187" s="314" t="s">
        <v>208</v>
      </c>
      <c r="C187" s="314" t="s">
        <v>225</v>
      </c>
      <c r="D187" s="323" t="s">
        <v>757</v>
      </c>
      <c r="E187" s="323" t="s">
        <v>789</v>
      </c>
    </row>
    <row r="188" spans="1:5" ht="48">
      <c r="A188" s="317"/>
      <c r="B188" s="314" t="s">
        <v>219</v>
      </c>
      <c r="C188" s="312" t="s">
        <v>126</v>
      </c>
      <c r="D188" s="323" t="s">
        <v>711</v>
      </c>
      <c r="E188" s="323" t="s">
        <v>795</v>
      </c>
    </row>
    <row r="189" spans="1:5" ht="21.75" customHeight="1">
      <c r="A189" s="317"/>
      <c r="B189" s="320"/>
      <c r="C189" s="314" t="s">
        <v>192</v>
      </c>
      <c r="D189" s="556" t="s">
        <v>712</v>
      </c>
      <c r="E189" s="556" t="s">
        <v>547</v>
      </c>
    </row>
    <row r="190" spans="1:5">
      <c r="A190" s="317"/>
      <c r="B190" s="320"/>
      <c r="C190" s="314" t="s">
        <v>183</v>
      </c>
      <c r="D190" s="557"/>
      <c r="E190" s="557"/>
    </row>
    <row r="191" spans="1:5">
      <c r="A191" s="317"/>
      <c r="B191" s="320"/>
      <c r="C191" s="314" t="s">
        <v>225</v>
      </c>
      <c r="D191" s="323" t="s">
        <v>713</v>
      </c>
      <c r="E191" s="323" t="s">
        <v>714</v>
      </c>
    </row>
    <row r="192" spans="1:5">
      <c r="A192" s="317"/>
      <c r="B192" s="321"/>
      <c r="C192" s="312" t="s">
        <v>126</v>
      </c>
      <c r="D192" s="323" t="s">
        <v>213</v>
      </c>
      <c r="E192" s="323" t="s">
        <v>221</v>
      </c>
    </row>
    <row r="193" spans="1:5" ht="72">
      <c r="A193" s="317"/>
      <c r="B193" s="314" t="s">
        <v>119</v>
      </c>
      <c r="C193" s="314" t="s">
        <v>184</v>
      </c>
      <c r="D193" s="323" t="s">
        <v>735</v>
      </c>
      <c r="E193" s="323" t="s">
        <v>10</v>
      </c>
    </row>
    <row r="194" spans="1:5" ht="84">
      <c r="A194" s="317"/>
      <c r="B194" s="314" t="s">
        <v>120</v>
      </c>
      <c r="C194" s="314" t="s">
        <v>175</v>
      </c>
      <c r="D194" s="323" t="s">
        <v>728</v>
      </c>
      <c r="E194" s="323" t="s">
        <v>283</v>
      </c>
    </row>
    <row r="195" spans="1:5" ht="60">
      <c r="A195" s="317"/>
      <c r="B195" s="314" t="s">
        <v>207</v>
      </c>
      <c r="C195" s="314" t="s">
        <v>225</v>
      </c>
      <c r="D195" s="323" t="s">
        <v>757</v>
      </c>
      <c r="E195" s="323" t="s">
        <v>360</v>
      </c>
    </row>
    <row r="196" spans="1:5" ht="108">
      <c r="A196" s="317"/>
      <c r="B196" s="314" t="s">
        <v>135</v>
      </c>
      <c r="C196" s="314" t="s">
        <v>126</v>
      </c>
      <c r="D196" s="323" t="s">
        <v>711</v>
      </c>
      <c r="E196" s="323" t="s">
        <v>248</v>
      </c>
    </row>
    <row r="197" spans="1:5" ht="96">
      <c r="A197" s="317"/>
      <c r="B197" s="314" t="s">
        <v>206</v>
      </c>
      <c r="C197" s="321"/>
      <c r="D197" s="323" t="s">
        <v>738</v>
      </c>
      <c r="E197" s="323" t="s">
        <v>284</v>
      </c>
    </row>
    <row r="198" spans="1:5" ht="84">
      <c r="A198" s="317"/>
      <c r="B198" s="320"/>
      <c r="C198" s="314" t="s">
        <v>192</v>
      </c>
      <c r="D198" s="323" t="s">
        <v>766</v>
      </c>
      <c r="E198" s="323" t="s">
        <v>328</v>
      </c>
    </row>
    <row r="199" spans="1:5" ht="60">
      <c r="A199" s="317"/>
      <c r="B199" s="320"/>
      <c r="C199" s="314" t="s">
        <v>183</v>
      </c>
      <c r="D199" s="323" t="s">
        <v>738</v>
      </c>
      <c r="E199" s="323" t="s">
        <v>296</v>
      </c>
    </row>
    <row r="200" spans="1:5" ht="24">
      <c r="A200" s="317"/>
      <c r="B200" s="320"/>
      <c r="C200" s="314" t="s">
        <v>225</v>
      </c>
      <c r="D200" s="323" t="s">
        <v>740</v>
      </c>
      <c r="E200" s="323" t="s">
        <v>482</v>
      </c>
    </row>
    <row r="201" spans="1:5" ht="36">
      <c r="A201" s="317"/>
      <c r="B201" s="320"/>
      <c r="C201" s="314" t="s">
        <v>126</v>
      </c>
      <c r="D201" s="323" t="s">
        <v>764</v>
      </c>
      <c r="E201" s="323" t="s">
        <v>99</v>
      </c>
    </row>
    <row r="202" spans="1:5" ht="36">
      <c r="A202" s="317"/>
      <c r="B202" s="320"/>
      <c r="C202" s="320"/>
      <c r="D202" s="323" t="s">
        <v>724</v>
      </c>
      <c r="E202" s="323" t="s">
        <v>96</v>
      </c>
    </row>
    <row r="203" spans="1:5" ht="96">
      <c r="A203" s="318"/>
      <c r="B203" s="321"/>
      <c r="C203" s="321"/>
      <c r="D203" s="323" t="s">
        <v>718</v>
      </c>
      <c r="E203" s="323" t="s">
        <v>255</v>
      </c>
    </row>
    <row r="204" spans="1:5">
      <c r="A204" s="334"/>
    </row>
    <row r="205" spans="1:5" ht="337.5">
      <c r="A205" s="299" t="s">
        <v>242</v>
      </c>
    </row>
    <row r="206" spans="1:5" ht="206.25">
      <c r="A206" s="299" t="s">
        <v>367</v>
      </c>
    </row>
    <row r="207" spans="1:5" ht="243.75">
      <c r="A207" s="299" t="s">
        <v>268</v>
      </c>
    </row>
    <row r="208" spans="1:5" ht="168.75">
      <c r="A208" s="299" t="s">
        <v>16</v>
      </c>
    </row>
    <row r="209" spans="1:1" ht="300">
      <c r="A209" s="299" t="s">
        <v>241</v>
      </c>
    </row>
    <row r="210" spans="1:1" ht="225">
      <c r="A210" s="299" t="s">
        <v>335</v>
      </c>
    </row>
    <row r="211" spans="1:1" ht="225">
      <c r="A211" s="299" t="s">
        <v>321</v>
      </c>
    </row>
    <row r="212" spans="1:1" ht="300">
      <c r="A212" s="299" t="s">
        <v>378</v>
      </c>
    </row>
    <row r="213" spans="1:1" ht="168.75">
      <c r="A213" s="299" t="s">
        <v>373</v>
      </c>
    </row>
    <row r="214" spans="1:1" ht="168.75">
      <c r="A214" s="299" t="s">
        <v>354</v>
      </c>
    </row>
    <row r="215" spans="1:1" ht="168.75">
      <c r="A215" s="299" t="s">
        <v>15</v>
      </c>
    </row>
    <row r="216" spans="1:1" ht="243.75">
      <c r="A216" s="299" t="s">
        <v>262</v>
      </c>
    </row>
    <row r="217" spans="1:1" ht="281.25">
      <c r="A217" s="299" t="s">
        <v>253</v>
      </c>
    </row>
    <row r="218" spans="1:1" ht="281.25">
      <c r="A218" s="299" t="s">
        <v>830</v>
      </c>
    </row>
    <row r="219" spans="1:1" ht="409.5">
      <c r="A219" s="299" t="s">
        <v>9</v>
      </c>
    </row>
    <row r="220" spans="1:1" ht="281.25">
      <c r="A220" s="299" t="s">
        <v>276</v>
      </c>
    </row>
    <row r="221" spans="1:1" ht="409.5">
      <c r="A221" s="299" t="s">
        <v>341</v>
      </c>
    </row>
    <row r="222" spans="1:1" ht="243.75">
      <c r="A222" s="299" t="s">
        <v>261</v>
      </c>
    </row>
    <row r="223" spans="1:1" ht="409.5">
      <c r="A223" s="299" t="s">
        <v>343</v>
      </c>
    </row>
    <row r="224" spans="1:1" ht="18.75">
      <c r="A224" s="335"/>
    </row>
    <row r="225" spans="1:1" ht="93.75">
      <c r="A225" s="298" t="s">
        <v>98</v>
      </c>
    </row>
    <row r="226" spans="1:1" ht="243.75">
      <c r="A226" s="299" t="s">
        <v>259</v>
      </c>
    </row>
    <row r="227" spans="1:1" ht="243.75">
      <c r="A227" s="299" t="s">
        <v>273</v>
      </c>
    </row>
    <row r="228" spans="1:1" ht="281.25">
      <c r="A228" s="299" t="s">
        <v>252</v>
      </c>
    </row>
    <row r="229" spans="1:1" ht="409.5">
      <c r="A229" s="299" t="s">
        <v>311</v>
      </c>
    </row>
    <row r="230" spans="1:1" ht="393.75">
      <c r="A230" s="299" t="s">
        <v>233</v>
      </c>
    </row>
    <row r="231" spans="1:1" ht="243.75">
      <c r="A231" s="299" t="s">
        <v>266</v>
      </c>
    </row>
    <row r="232" spans="1:1" ht="243.75">
      <c r="A232" s="299" t="s">
        <v>260</v>
      </c>
    </row>
    <row r="233" spans="1:1" ht="300">
      <c r="A233" s="299" t="s">
        <v>391</v>
      </c>
    </row>
    <row r="234" spans="1:1" ht="409.5">
      <c r="A234" s="299" t="s">
        <v>290</v>
      </c>
    </row>
    <row r="235" spans="1:1" ht="150">
      <c r="A235" s="299" t="s">
        <v>294</v>
      </c>
    </row>
    <row r="236" spans="1:1" ht="262.5">
      <c r="A236" s="299" t="s">
        <v>282</v>
      </c>
    </row>
    <row r="237" spans="1:1" ht="168.75">
      <c r="A237" s="299" t="s">
        <v>13</v>
      </c>
    </row>
    <row r="238" spans="1:1" ht="18.75">
      <c r="A238" s="335"/>
    </row>
    <row r="239" spans="1:1" ht="56.25">
      <c r="A239" s="298" t="s">
        <v>72</v>
      </c>
    </row>
    <row r="240" spans="1:1" ht="37.5">
      <c r="A240" s="300" t="s">
        <v>722</v>
      </c>
    </row>
    <row r="241" spans="1:1" ht="150">
      <c r="A241" s="299" t="s">
        <v>302</v>
      </c>
    </row>
    <row r="242" spans="1:1" ht="393.75">
      <c r="A242" s="299" t="s">
        <v>107</v>
      </c>
    </row>
    <row r="243" spans="1:1" ht="187.5">
      <c r="A243" s="299" t="s">
        <v>348</v>
      </c>
    </row>
    <row r="244" spans="1:1" ht="93.75">
      <c r="A244" s="300" t="s">
        <v>77</v>
      </c>
    </row>
    <row r="245" spans="1:1" ht="75">
      <c r="A245" s="300" t="s">
        <v>54</v>
      </c>
    </row>
    <row r="246" spans="1:1" ht="318.75">
      <c r="A246" s="299" t="s">
        <v>383</v>
      </c>
    </row>
    <row r="247" spans="1:1" ht="168.75">
      <c r="A247" s="299" t="s">
        <v>17</v>
      </c>
    </row>
    <row r="248" spans="1:1" ht="206.25">
      <c r="A248" s="299" t="s">
        <v>331</v>
      </c>
    </row>
    <row r="249" spans="1:1" ht="168.75">
      <c r="A249" s="299" t="s">
        <v>364</v>
      </c>
    </row>
    <row r="250" spans="1:1" ht="318.75">
      <c r="A250" s="299" t="s">
        <v>235</v>
      </c>
    </row>
    <row r="251" spans="1:1" ht="337.5">
      <c r="A251" s="299" t="s">
        <v>316</v>
      </c>
    </row>
    <row r="252" spans="1:1" ht="281.25">
      <c r="A252" s="299" t="s">
        <v>379</v>
      </c>
    </row>
    <row r="253" spans="1:1" ht="281.25">
      <c r="A253" s="299" t="s">
        <v>380</v>
      </c>
    </row>
    <row r="254" spans="1:1" ht="187.5">
      <c r="A254" s="299" t="s">
        <v>365</v>
      </c>
    </row>
    <row r="255" spans="1:1" ht="75">
      <c r="A255" s="300" t="s">
        <v>487</v>
      </c>
    </row>
    <row r="256" spans="1:1" ht="206.25">
      <c r="A256" s="299" t="s">
        <v>347</v>
      </c>
    </row>
    <row r="257" spans="1:1" ht="225">
      <c r="A257" s="299" t="s">
        <v>334</v>
      </c>
    </row>
    <row r="258" spans="1:1" ht="112.5">
      <c r="A258" s="299" t="s">
        <v>562</v>
      </c>
    </row>
    <row r="259" spans="1:1" ht="300">
      <c r="A259" s="299" t="s">
        <v>388</v>
      </c>
    </row>
    <row r="260" spans="1:1" ht="300">
      <c r="A260" s="299" t="s">
        <v>385</v>
      </c>
    </row>
    <row r="261" spans="1:1" ht="300">
      <c r="A261" s="299" t="s">
        <v>382</v>
      </c>
    </row>
    <row r="262" spans="1:1" ht="37.5">
      <c r="A262" s="300" t="s">
        <v>743</v>
      </c>
    </row>
    <row r="263" spans="1:1" ht="262.5">
      <c r="A263" s="299" t="s">
        <v>279</v>
      </c>
    </row>
    <row r="264" spans="1:1" ht="243.75">
      <c r="A264" s="299" t="s">
        <v>267</v>
      </c>
    </row>
    <row r="265" spans="1:1" ht="150">
      <c r="A265" s="299" t="s">
        <v>823</v>
      </c>
    </row>
    <row r="266" spans="1:1" ht="281.25">
      <c r="A266" s="299" t="s">
        <v>389</v>
      </c>
    </row>
    <row r="267" spans="1:1" ht="262.5">
      <c r="A267" s="299" t="s">
        <v>280</v>
      </c>
    </row>
    <row r="268" spans="1:1" ht="37.5">
      <c r="A268" s="300" t="s">
        <v>726</v>
      </c>
    </row>
    <row r="269" spans="1:1" ht="300">
      <c r="A269" s="299" t="s">
        <v>390</v>
      </c>
    </row>
    <row r="270" spans="1:1" ht="318.75">
      <c r="A270" s="299" t="s">
        <v>319</v>
      </c>
    </row>
    <row r="271" spans="1:1" ht="150">
      <c r="A271" s="299" t="s">
        <v>298</v>
      </c>
    </row>
    <row r="272" spans="1:1" ht="150">
      <c r="A272" s="299" t="s">
        <v>297</v>
      </c>
    </row>
    <row r="273" spans="1:1" ht="187.5">
      <c r="A273" s="299" t="s">
        <v>357</v>
      </c>
    </row>
    <row r="274" spans="1:1" ht="168.75">
      <c r="A274" s="299" t="s">
        <v>841</v>
      </c>
    </row>
    <row r="275" spans="1:1" ht="150">
      <c r="A275" s="299" t="s">
        <v>14</v>
      </c>
    </row>
    <row r="276" spans="1:1" ht="262.5">
      <c r="A276" s="299" t="s">
        <v>811</v>
      </c>
    </row>
    <row r="277" spans="1:1" ht="409.5">
      <c r="A277" s="299" t="s">
        <v>291</v>
      </c>
    </row>
    <row r="278" spans="1:1" ht="300">
      <c r="A278" s="299" t="s">
        <v>386</v>
      </c>
    </row>
    <row r="279" spans="1:1" ht="18.75">
      <c r="A279" s="335"/>
    </row>
    <row r="280" spans="1:1" ht="75">
      <c r="A280" s="300" t="s">
        <v>74</v>
      </c>
    </row>
    <row r="281" spans="1:1" ht="252">
      <c r="A281" s="302" t="s">
        <v>286</v>
      </c>
    </row>
    <row r="282" spans="1:1" ht="18.75">
      <c r="A282" s="303" t="s">
        <v>857</v>
      </c>
    </row>
    <row r="283" spans="1:1" ht="281.25">
      <c r="A283" s="299" t="s">
        <v>809</v>
      </c>
    </row>
    <row r="284" spans="1:1" ht="206.25">
      <c r="A284" s="299" t="s">
        <v>349</v>
      </c>
    </row>
    <row r="285" spans="1:1" ht="262.5">
      <c r="A285" s="299" t="s">
        <v>819</v>
      </c>
    </row>
    <row r="286" spans="1:1" ht="37.5">
      <c r="A286" s="303" t="s">
        <v>858</v>
      </c>
    </row>
    <row r="287" spans="1:1" ht="409.5">
      <c r="A287" s="299" t="s">
        <v>813</v>
      </c>
    </row>
    <row r="288" spans="1:1" ht="206.25">
      <c r="A288" s="299" t="s">
        <v>339</v>
      </c>
    </row>
    <row r="289" spans="1:6" ht="225">
      <c r="A289" s="299" t="s">
        <v>340</v>
      </c>
    </row>
    <row r="290" spans="1:6" ht="56.25">
      <c r="A290" s="303" t="s">
        <v>843</v>
      </c>
    </row>
    <row r="291" spans="1:6" ht="252">
      <c r="A291" s="302" t="s">
        <v>851</v>
      </c>
    </row>
    <row r="292" spans="1:6" ht="281.25">
      <c r="A292" s="299" t="s">
        <v>249</v>
      </c>
    </row>
    <row r="293" spans="1:6" ht="225">
      <c r="A293" s="299" t="s">
        <v>329</v>
      </c>
    </row>
    <row r="294" spans="1:6" ht="409.5">
      <c r="A294" s="299" t="s">
        <v>8</v>
      </c>
    </row>
    <row r="295" spans="1:6" ht="281.25">
      <c r="A295" s="299" t="s">
        <v>246</v>
      </c>
    </row>
    <row r="296" spans="1:6" ht="318.75">
      <c r="A296" s="299" t="s">
        <v>375</v>
      </c>
    </row>
    <row r="297" spans="1:6" ht="262.5">
      <c r="A297" s="299" t="s">
        <v>281</v>
      </c>
    </row>
    <row r="298" spans="1:6" ht="37.5">
      <c r="A298" s="303" t="s">
        <v>859</v>
      </c>
    </row>
    <row r="299" spans="1:6" ht="337.5">
      <c r="A299" s="299" t="s">
        <v>313</v>
      </c>
    </row>
    <row r="300" spans="1:6" ht="37.5">
      <c r="A300" s="303" t="s">
        <v>860</v>
      </c>
    </row>
    <row r="301" spans="1:6" ht="243.75">
      <c r="A301" s="299" t="s">
        <v>855</v>
      </c>
    </row>
    <row r="302" spans="1:6" ht="14.25">
      <c r="A302" s="336" t="s">
        <v>139</v>
      </c>
      <c r="B302" s="580" t="s">
        <v>60</v>
      </c>
      <c r="C302" s="580" t="s">
        <v>125</v>
      </c>
      <c r="D302" s="580" t="s">
        <v>117</v>
      </c>
      <c r="E302" s="580" t="s">
        <v>525</v>
      </c>
      <c r="F302" s="580" t="s">
        <v>130</v>
      </c>
    </row>
    <row r="303" spans="1:6" ht="14.25">
      <c r="A303" s="337" t="s">
        <v>131</v>
      </c>
      <c r="B303" s="581"/>
      <c r="C303" s="581"/>
      <c r="D303" s="581"/>
      <c r="E303" s="581"/>
      <c r="F303" s="581"/>
    </row>
    <row r="304" spans="1:6">
      <c r="A304" s="338" t="s">
        <v>133</v>
      </c>
      <c r="B304" s="339" t="s">
        <v>708</v>
      </c>
      <c r="C304" s="339">
        <v>0.05</v>
      </c>
      <c r="D304" s="339" t="s">
        <v>134</v>
      </c>
      <c r="E304" s="307"/>
      <c r="F304" s="339" t="s">
        <v>758</v>
      </c>
    </row>
    <row r="305" spans="1:6">
      <c r="A305" s="338" t="s">
        <v>122</v>
      </c>
      <c r="B305" s="339" t="s">
        <v>754</v>
      </c>
      <c r="C305" s="339">
        <v>0.12</v>
      </c>
      <c r="D305" s="339" t="s">
        <v>116</v>
      </c>
      <c r="E305" s="307"/>
      <c r="F305" s="339" t="s">
        <v>123</v>
      </c>
    </row>
    <row r="306" spans="1:6" ht="53.25" customHeight="1">
      <c r="A306" s="338" t="s">
        <v>732</v>
      </c>
      <c r="B306" s="339" t="s">
        <v>737</v>
      </c>
      <c r="C306" s="339">
        <v>0.25</v>
      </c>
      <c r="D306" s="339" t="s">
        <v>719</v>
      </c>
      <c r="E306" s="577" t="s">
        <v>29</v>
      </c>
      <c r="F306" s="577" t="s">
        <v>123</v>
      </c>
    </row>
    <row r="307" spans="1:6" ht="27">
      <c r="A307" s="338" t="s">
        <v>759</v>
      </c>
      <c r="B307" s="339" t="s">
        <v>752</v>
      </c>
      <c r="C307" s="339">
        <v>0.2</v>
      </c>
      <c r="D307" s="339" t="s">
        <v>719</v>
      </c>
      <c r="E307" s="579"/>
      <c r="F307" s="578"/>
    </row>
    <row r="308" spans="1:6" ht="40.5">
      <c r="A308" s="338" t="s">
        <v>742</v>
      </c>
      <c r="B308" s="339" t="s">
        <v>762</v>
      </c>
      <c r="C308" s="339">
        <v>0.15</v>
      </c>
      <c r="D308" s="339" t="s">
        <v>756</v>
      </c>
      <c r="E308" s="340" t="s">
        <v>104</v>
      </c>
      <c r="F308" s="578"/>
    </row>
    <row r="309" spans="1:6" ht="27">
      <c r="A309" s="338" t="s">
        <v>775</v>
      </c>
      <c r="B309" s="339" t="s">
        <v>480</v>
      </c>
      <c r="C309" s="339">
        <v>0.1</v>
      </c>
      <c r="D309" s="339" t="s">
        <v>756</v>
      </c>
      <c r="E309" s="339" t="s">
        <v>763</v>
      </c>
      <c r="F309" s="578"/>
    </row>
    <row r="310" spans="1:6" ht="27">
      <c r="A310" s="338" t="s">
        <v>784</v>
      </c>
      <c r="B310" s="339" t="s">
        <v>479</v>
      </c>
      <c r="C310" s="339">
        <v>0.05</v>
      </c>
      <c r="D310" s="339" t="s">
        <v>746</v>
      </c>
      <c r="E310" s="307"/>
      <c r="F310" s="579"/>
    </row>
    <row r="311" spans="1:6" ht="27">
      <c r="A311" s="338" t="s">
        <v>748</v>
      </c>
      <c r="B311" s="339" t="s">
        <v>776</v>
      </c>
      <c r="C311" s="339">
        <v>0.35</v>
      </c>
      <c r="D311" s="339" t="s">
        <v>768</v>
      </c>
      <c r="E311" s="339" t="s">
        <v>491</v>
      </c>
      <c r="F311" s="577" t="s">
        <v>123</v>
      </c>
    </row>
    <row r="312" spans="1:6" ht="27">
      <c r="A312" s="338" t="s">
        <v>761</v>
      </c>
      <c r="B312" s="339" t="s">
        <v>737</v>
      </c>
      <c r="C312" s="339">
        <v>0.25</v>
      </c>
      <c r="D312" s="339" t="s">
        <v>781</v>
      </c>
      <c r="E312" s="307"/>
      <c r="F312" s="578"/>
    </row>
    <row r="313" spans="1:6" ht="27">
      <c r="A313" s="338" t="s">
        <v>747</v>
      </c>
      <c r="B313" s="339" t="s">
        <v>752</v>
      </c>
      <c r="C313" s="339">
        <v>0.2</v>
      </c>
      <c r="D313" s="339" t="s">
        <v>756</v>
      </c>
      <c r="E313" s="307"/>
      <c r="F313" s="578"/>
    </row>
    <row r="314" spans="1:6" ht="27">
      <c r="A314" s="338" t="s">
        <v>749</v>
      </c>
      <c r="B314" s="339" t="s">
        <v>762</v>
      </c>
      <c r="C314" s="339">
        <v>0.15</v>
      </c>
      <c r="D314" s="339" t="s">
        <v>746</v>
      </c>
      <c r="E314" s="307"/>
      <c r="F314" s="578"/>
    </row>
    <row r="315" spans="1:6" ht="27">
      <c r="A315" s="338" t="s">
        <v>783</v>
      </c>
      <c r="B315" s="339" t="s">
        <v>480</v>
      </c>
      <c r="C315" s="339">
        <v>0.1</v>
      </c>
      <c r="D315" s="339" t="s">
        <v>746</v>
      </c>
      <c r="E315" s="307"/>
      <c r="F315" s="579"/>
    </row>
    <row r="316" spans="1:6">
      <c r="A316" s="338" t="s">
        <v>137</v>
      </c>
      <c r="B316" s="339" t="s">
        <v>760</v>
      </c>
      <c r="C316" s="339">
        <v>0.05</v>
      </c>
      <c r="D316" s="339" t="s">
        <v>127</v>
      </c>
      <c r="E316" s="307"/>
      <c r="F316" s="339" t="s">
        <v>123</v>
      </c>
    </row>
    <row r="317" spans="1:6" ht="27">
      <c r="A317" s="338" t="s">
        <v>132</v>
      </c>
      <c r="B317" s="339" t="s">
        <v>492</v>
      </c>
      <c r="C317" s="339">
        <v>0.1</v>
      </c>
      <c r="D317" s="339" t="s">
        <v>124</v>
      </c>
      <c r="E317" s="307"/>
      <c r="F317" s="339" t="s">
        <v>128</v>
      </c>
    </row>
    <row r="318" spans="1:6">
      <c r="A318" s="338" t="s">
        <v>121</v>
      </c>
      <c r="B318" s="339" t="s">
        <v>750</v>
      </c>
      <c r="C318" s="339">
        <v>0.05</v>
      </c>
      <c r="D318" s="339" t="s">
        <v>138</v>
      </c>
      <c r="E318" s="307"/>
      <c r="F318" s="339" t="s">
        <v>123</v>
      </c>
    </row>
    <row r="319" spans="1:6" ht="27">
      <c r="A319" s="338" t="s">
        <v>773</v>
      </c>
      <c r="B319" s="339" t="s">
        <v>481</v>
      </c>
      <c r="C319" s="307"/>
      <c r="D319" s="339" t="s">
        <v>767</v>
      </c>
      <c r="E319" s="307"/>
      <c r="F319" s="339" t="s">
        <v>123</v>
      </c>
    </row>
    <row r="320" spans="1:6">
      <c r="A320" s="301"/>
    </row>
    <row r="321" spans="1:4">
      <c r="A321" s="567" t="s">
        <v>485</v>
      </c>
      <c r="B321" s="568"/>
      <c r="C321" s="329" t="s">
        <v>114</v>
      </c>
      <c r="D321" s="329" t="s">
        <v>115</v>
      </c>
    </row>
    <row r="322" spans="1:4" ht="27.75" customHeight="1">
      <c r="A322" s="548" t="s">
        <v>751</v>
      </c>
      <c r="B322" s="549"/>
      <c r="C322" s="552" t="s">
        <v>489</v>
      </c>
      <c r="D322" s="552" t="s">
        <v>33</v>
      </c>
    </row>
    <row r="323" spans="1:4" ht="14.25">
      <c r="A323" s="550" t="s">
        <v>493</v>
      </c>
      <c r="B323" s="551"/>
      <c r="C323" s="553"/>
      <c r="D323" s="553"/>
    </row>
    <row r="324" spans="1:4" ht="71.25">
      <c r="A324" s="548" t="s">
        <v>774</v>
      </c>
      <c r="B324" s="549"/>
      <c r="C324" s="341" t="s">
        <v>550</v>
      </c>
      <c r="D324" s="552" t="s">
        <v>488</v>
      </c>
    </row>
    <row r="325" spans="1:4" ht="71.25">
      <c r="A325" s="550"/>
      <c r="B325" s="551"/>
      <c r="C325" s="342" t="s">
        <v>558</v>
      </c>
      <c r="D325" s="553"/>
    </row>
    <row r="326" spans="1:4" ht="28.5">
      <c r="A326" s="554" t="s">
        <v>777</v>
      </c>
      <c r="B326" s="555"/>
      <c r="C326" s="342" t="s">
        <v>483</v>
      </c>
      <c r="D326" s="342" t="s">
        <v>484</v>
      </c>
    </row>
    <row r="327" spans="1:4" ht="99.75">
      <c r="A327" s="343" t="s">
        <v>205</v>
      </c>
      <c r="B327" s="342" t="s">
        <v>498</v>
      </c>
      <c r="C327" s="342" t="s">
        <v>31</v>
      </c>
      <c r="D327" s="342">
        <v>0.18055555555555555</v>
      </c>
    </row>
    <row r="328" spans="1:4" ht="42.75">
      <c r="A328" s="343" t="s">
        <v>129</v>
      </c>
      <c r="B328" s="342" t="s">
        <v>739</v>
      </c>
      <c r="C328" s="342" t="s">
        <v>43</v>
      </c>
      <c r="D328" s="342" t="s">
        <v>500</v>
      </c>
    </row>
    <row r="329" spans="1:4" ht="57">
      <c r="A329" s="317"/>
      <c r="B329" s="552" t="s">
        <v>50</v>
      </c>
      <c r="C329" s="341" t="s">
        <v>100</v>
      </c>
      <c r="D329" s="341" t="s">
        <v>95</v>
      </c>
    </row>
    <row r="330" spans="1:4" ht="28.5">
      <c r="A330" s="317"/>
      <c r="B330" s="553"/>
      <c r="C330" s="342" t="s">
        <v>501</v>
      </c>
      <c r="D330" s="342" t="s">
        <v>495</v>
      </c>
    </row>
    <row r="331" spans="1:4" ht="42.75">
      <c r="A331" s="317"/>
      <c r="B331" s="342" t="s">
        <v>88</v>
      </c>
      <c r="C331" s="342" t="s">
        <v>502</v>
      </c>
      <c r="D331" s="342" t="s">
        <v>741</v>
      </c>
    </row>
    <row r="332" spans="1:4" ht="128.25">
      <c r="A332" s="318"/>
      <c r="B332" s="342" t="s">
        <v>46</v>
      </c>
      <c r="C332" s="342" t="s">
        <v>322</v>
      </c>
      <c r="D332" s="307"/>
    </row>
    <row r="333" spans="1:4" ht="71.25">
      <c r="A333" s="343" t="s">
        <v>205</v>
      </c>
      <c r="B333" s="342" t="s">
        <v>42</v>
      </c>
      <c r="C333" s="342" t="s">
        <v>552</v>
      </c>
      <c r="D333" s="307"/>
    </row>
    <row r="334" spans="1:4" ht="42.75">
      <c r="A334" s="343" t="s">
        <v>113</v>
      </c>
      <c r="B334" s="342" t="s">
        <v>34</v>
      </c>
      <c r="C334" s="342" t="s">
        <v>47</v>
      </c>
      <c r="D334" s="307"/>
    </row>
    <row r="335" spans="1:4" ht="28.5">
      <c r="A335" s="317"/>
      <c r="B335" s="342" t="s">
        <v>508</v>
      </c>
      <c r="C335" s="342" t="s">
        <v>490</v>
      </c>
      <c r="D335" s="307"/>
    </row>
    <row r="336" spans="1:4" ht="42.75">
      <c r="A336" s="317"/>
      <c r="B336" s="342" t="s">
        <v>36</v>
      </c>
      <c r="C336" s="342" t="s">
        <v>499</v>
      </c>
      <c r="D336" s="307"/>
    </row>
    <row r="337" spans="1:4" ht="42.75">
      <c r="A337" s="318"/>
      <c r="B337" s="342" t="s">
        <v>37</v>
      </c>
      <c r="C337" s="342" t="s">
        <v>504</v>
      </c>
      <c r="D337" s="307"/>
    </row>
    <row r="338" spans="1:4" ht="28.5">
      <c r="A338" s="554" t="s">
        <v>505</v>
      </c>
      <c r="B338" s="555"/>
      <c r="C338" s="342" t="s">
        <v>778</v>
      </c>
      <c r="D338" s="307"/>
    </row>
    <row r="339" spans="1:4">
      <c r="A339" s="301"/>
    </row>
    <row r="340" spans="1:4" ht="75">
      <c r="A340" s="298" t="s">
        <v>70</v>
      </c>
    </row>
    <row r="341" spans="1:4" ht="150">
      <c r="A341" s="300" t="s">
        <v>812</v>
      </c>
    </row>
    <row r="342" spans="1:4" ht="37.5">
      <c r="A342" s="299" t="s">
        <v>765</v>
      </c>
    </row>
    <row r="343" spans="1:4" ht="262.5">
      <c r="A343" s="344" t="s">
        <v>854</v>
      </c>
    </row>
    <row r="344" spans="1:4" ht="187.5">
      <c r="A344" s="344" t="s">
        <v>838</v>
      </c>
    </row>
    <row r="345" spans="1:4" ht="37.5">
      <c r="A345" s="299" t="s">
        <v>782</v>
      </c>
    </row>
    <row r="346" spans="1:4" ht="409.5">
      <c r="A346" s="344" t="s">
        <v>342</v>
      </c>
    </row>
    <row r="347" spans="1:4" ht="131.25">
      <c r="A347" s="344" t="s">
        <v>307</v>
      </c>
    </row>
    <row r="348" spans="1:4" ht="131.25">
      <c r="A348" s="299" t="s">
        <v>802</v>
      </c>
    </row>
    <row r="349" spans="1:4" ht="93.75">
      <c r="A349" s="299" t="s">
        <v>85</v>
      </c>
    </row>
    <row r="350" spans="1:4" ht="18.75">
      <c r="A350" s="335"/>
    </row>
    <row r="351" spans="1:4" ht="93.75">
      <c r="A351" s="298" t="s">
        <v>835</v>
      </c>
    </row>
    <row r="352" spans="1:4" ht="243.75">
      <c r="A352" s="299" t="s">
        <v>264</v>
      </c>
    </row>
    <row r="353" spans="1:1" ht="356.25">
      <c r="A353" s="299" t="s">
        <v>108</v>
      </c>
    </row>
    <row r="354" spans="1:1" ht="262.5">
      <c r="A354" s="299" t="s">
        <v>265</v>
      </c>
    </row>
    <row r="355" spans="1:1" ht="300">
      <c r="A355" s="299" t="s">
        <v>239</v>
      </c>
    </row>
    <row r="356" spans="1:1" ht="187.5">
      <c r="A356" s="299" t="s">
        <v>359</v>
      </c>
    </row>
    <row r="357" spans="1:1" ht="262.5">
      <c r="A357" s="299" t="s">
        <v>285</v>
      </c>
    </row>
    <row r="358" spans="1:1" ht="187.5">
      <c r="A358" s="299" t="s">
        <v>368</v>
      </c>
    </row>
    <row r="359" spans="1:1" ht="262.5">
      <c r="A359" s="299" t="s">
        <v>277</v>
      </c>
    </row>
    <row r="360" spans="1:1">
      <c r="A360" s="301"/>
    </row>
    <row r="361" spans="1:1">
      <c r="A361" s="301"/>
    </row>
    <row r="362" spans="1:1" ht="56.25">
      <c r="A362" s="298" t="s">
        <v>496</v>
      </c>
    </row>
    <row r="363" spans="1:1" ht="243.75">
      <c r="A363" s="299" t="s">
        <v>270</v>
      </c>
    </row>
    <row r="364" spans="1:1" ht="337.5">
      <c r="A364" s="299" t="s">
        <v>238</v>
      </c>
    </row>
    <row r="365" spans="1:1" ht="318.75">
      <c r="A365" s="299" t="s">
        <v>377</v>
      </c>
    </row>
    <row r="366" spans="1:1" ht="262.5">
      <c r="A366" s="299" t="s">
        <v>269</v>
      </c>
    </row>
    <row r="367" spans="1:1" ht="409.5">
      <c r="A367" s="299" t="s">
        <v>6</v>
      </c>
    </row>
    <row r="368" spans="1:1" ht="318.75">
      <c r="A368" s="299" t="s">
        <v>318</v>
      </c>
    </row>
    <row r="369" spans="1:1" ht="262.5">
      <c r="A369" s="299" t="s">
        <v>247</v>
      </c>
    </row>
    <row r="370" spans="1:1" ht="112.5">
      <c r="A370" s="299" t="s">
        <v>546</v>
      </c>
    </row>
    <row r="371" spans="1:1" ht="112.5">
      <c r="A371" s="299" t="s">
        <v>548</v>
      </c>
    </row>
    <row r="372" spans="1:1" ht="112.5">
      <c r="A372" s="299" t="s">
        <v>798</v>
      </c>
    </row>
    <row r="373" spans="1:1" ht="56.25">
      <c r="A373" s="299" t="s">
        <v>73</v>
      </c>
    </row>
    <row r="374" spans="1:1" ht="37.5">
      <c r="A374" s="299" t="s">
        <v>745</v>
      </c>
    </row>
    <row r="375" spans="1:1" ht="262.5">
      <c r="A375" s="299" t="s">
        <v>272</v>
      </c>
    </row>
    <row r="376" spans="1:1" ht="150">
      <c r="A376" s="299" t="s">
        <v>30</v>
      </c>
    </row>
    <row r="377" spans="1:1" ht="206.25">
      <c r="A377" s="299" t="s">
        <v>79</v>
      </c>
    </row>
    <row r="378" spans="1:1" ht="37.5">
      <c r="A378" s="299" t="s">
        <v>769</v>
      </c>
    </row>
    <row r="379" spans="1:1" ht="409.5">
      <c r="A379" s="299" t="s">
        <v>320</v>
      </c>
    </row>
    <row r="380" spans="1:1" ht="37.5">
      <c r="A380" s="299" t="s">
        <v>772</v>
      </c>
    </row>
    <row r="381" spans="1:1" ht="206.25">
      <c r="A381" s="299" t="s">
        <v>323</v>
      </c>
    </row>
    <row r="382" spans="1:1" ht="168.75">
      <c r="A382" s="299" t="s">
        <v>372</v>
      </c>
    </row>
    <row r="383" spans="1:1" ht="206.25">
      <c r="A383" s="299" t="s">
        <v>350</v>
      </c>
    </row>
    <row r="384" spans="1:1" ht="150">
      <c r="A384" s="299" t="s">
        <v>303</v>
      </c>
    </row>
    <row r="385" spans="1:1" ht="37.5">
      <c r="A385" s="299" t="s">
        <v>744</v>
      </c>
    </row>
    <row r="386" spans="1:1" ht="168.75">
      <c r="A386" s="299" t="s">
        <v>19</v>
      </c>
    </row>
    <row r="387" spans="1:1" ht="187.5">
      <c r="A387" s="299" t="s">
        <v>371</v>
      </c>
    </row>
    <row r="388" spans="1:1" ht="281.25">
      <c r="A388" s="299" t="s">
        <v>257</v>
      </c>
    </row>
    <row r="389" spans="1:1" ht="37.5">
      <c r="A389" s="299" t="s">
        <v>779</v>
      </c>
    </row>
    <row r="390" spans="1:1" ht="187.5">
      <c r="A390" s="299" t="s">
        <v>358</v>
      </c>
    </row>
    <row r="391" spans="1:1" ht="409.5">
      <c r="A391" s="299" t="s">
        <v>7</v>
      </c>
    </row>
    <row r="392" spans="1:1" ht="262.5">
      <c r="A392" s="299" t="s">
        <v>275</v>
      </c>
    </row>
    <row r="393" spans="1:1" ht="187.5">
      <c r="A393" s="299" t="s">
        <v>3</v>
      </c>
    </row>
    <row r="394" spans="1:1" ht="393.75">
      <c r="A394" s="299" t="s">
        <v>230</v>
      </c>
    </row>
    <row r="395" spans="1:1" ht="75">
      <c r="A395" s="299" t="s">
        <v>105</v>
      </c>
    </row>
    <row r="396" spans="1:1" ht="93.75">
      <c r="A396" s="299" t="s">
        <v>563</v>
      </c>
    </row>
    <row r="397" spans="1:1" ht="225">
      <c r="A397" s="299" t="s">
        <v>326</v>
      </c>
    </row>
    <row r="398" spans="1:1" ht="225">
      <c r="A398" s="299" t="s">
        <v>826</v>
      </c>
    </row>
    <row r="399" spans="1:1" ht="300">
      <c r="A399" s="299" t="s">
        <v>243</v>
      </c>
    </row>
    <row r="400" spans="1:1" ht="356.25">
      <c r="A400" s="299" t="s">
        <v>109</v>
      </c>
    </row>
    <row r="401" spans="1:1" ht="281.25">
      <c r="A401" s="299" t="s">
        <v>245</v>
      </c>
    </row>
    <row r="402" spans="1:1" ht="168.75">
      <c r="A402" s="299" t="s">
        <v>23</v>
      </c>
    </row>
    <row r="403" spans="1:1" ht="409.5">
      <c r="A403" s="299" t="s">
        <v>392</v>
      </c>
    </row>
    <row r="404" spans="1:1" ht="168.75">
      <c r="A404" s="299" t="s">
        <v>27</v>
      </c>
    </row>
    <row r="405" spans="1:1" ht="187.5">
      <c r="A405" s="299" t="s">
        <v>374</v>
      </c>
    </row>
    <row r="406" spans="1:1" ht="37.5">
      <c r="A406" s="299" t="s">
        <v>507</v>
      </c>
    </row>
    <row r="407" spans="1:1" ht="337.5">
      <c r="A407" s="299" t="s">
        <v>317</v>
      </c>
    </row>
    <row r="408" spans="1:1" ht="168.75">
      <c r="A408" s="299" t="s">
        <v>28</v>
      </c>
    </row>
    <row r="409" spans="1:1" ht="409.5">
      <c r="A409" s="299" t="s">
        <v>393</v>
      </c>
    </row>
    <row r="410" spans="1:1" ht="37.5">
      <c r="A410" s="299" t="s">
        <v>506</v>
      </c>
    </row>
    <row r="411" spans="1:1" ht="131.25">
      <c r="A411" s="299" t="s">
        <v>799</v>
      </c>
    </row>
    <row r="412" spans="1:1" ht="225">
      <c r="A412" s="299" t="s">
        <v>325</v>
      </c>
    </row>
    <row r="413" spans="1:1" ht="18.75">
      <c r="A413" s="335"/>
    </row>
    <row r="414" spans="1:1" ht="37.5">
      <c r="A414" s="298" t="s">
        <v>770</v>
      </c>
    </row>
    <row r="415" spans="1:1" ht="393.75">
      <c r="A415" s="299" t="s">
        <v>232</v>
      </c>
    </row>
    <row r="416" spans="1:1" ht="393.75">
      <c r="A416" s="299" t="s">
        <v>231</v>
      </c>
    </row>
    <row r="417" spans="1:1" ht="356.25">
      <c r="A417" s="299" t="s">
        <v>110</v>
      </c>
    </row>
    <row r="418" spans="1:1" ht="18.75">
      <c r="A418" s="335"/>
    </row>
    <row r="419" spans="1:1" ht="37.5">
      <c r="A419" s="298" t="s">
        <v>780</v>
      </c>
    </row>
    <row r="420" spans="1:1" ht="75">
      <c r="A420" s="299" t="s">
        <v>68</v>
      </c>
    </row>
    <row r="421" spans="1:1" ht="56.25">
      <c r="A421" s="299" t="s">
        <v>509</v>
      </c>
    </row>
    <row r="422" spans="1:1" ht="375">
      <c r="A422" s="299" t="s">
        <v>352</v>
      </c>
    </row>
    <row r="423" spans="1:1" ht="75">
      <c r="A423" s="299" t="s">
        <v>69</v>
      </c>
    </row>
    <row r="424" spans="1:1" ht="112.5">
      <c r="A424" s="299" t="s">
        <v>553</v>
      </c>
    </row>
    <row r="425" spans="1:1" ht="93.75">
      <c r="A425" s="299" t="s">
        <v>102</v>
      </c>
    </row>
    <row r="426" spans="1:1" ht="243.75">
      <c r="A426" s="299" t="s">
        <v>856</v>
      </c>
    </row>
    <row r="427" spans="1:1">
      <c r="A427" s="301"/>
    </row>
    <row r="428" spans="1:1">
      <c r="A428" s="305"/>
    </row>
  </sheetData>
  <mergeCells count="117">
    <mergeCell ref="B25:B26"/>
    <mergeCell ref="A27:C27"/>
    <mergeCell ref="A28:C28"/>
    <mergeCell ref="A29:C29"/>
    <mergeCell ref="A30:C30"/>
    <mergeCell ref="A31:C31"/>
    <mergeCell ref="A38:C38"/>
    <mergeCell ref="A41:C41"/>
    <mergeCell ref="A42:C42"/>
    <mergeCell ref="A43:C43"/>
    <mergeCell ref="A44:C44"/>
    <mergeCell ref="A45:C45"/>
    <mergeCell ref="A32:C32"/>
    <mergeCell ref="A33:C33"/>
    <mergeCell ref="A34:C34"/>
    <mergeCell ref="A35:C35"/>
    <mergeCell ref="A36:C36"/>
    <mergeCell ref="A37:C37"/>
    <mergeCell ref="A54:C60"/>
    <mergeCell ref="E56:E57"/>
    <mergeCell ref="F56:F57"/>
    <mergeCell ref="A61:D61"/>
    <mergeCell ref="D65:D67"/>
    <mergeCell ref="E68:E69"/>
    <mergeCell ref="F45:F46"/>
    <mergeCell ref="D47:D48"/>
    <mergeCell ref="F47:F48"/>
    <mergeCell ref="A51:D51"/>
    <mergeCell ref="A52:D52"/>
    <mergeCell ref="A53:D53"/>
    <mergeCell ref="A46:C46"/>
    <mergeCell ref="A47:C47"/>
    <mergeCell ref="A48:C48"/>
    <mergeCell ref="A49:C49"/>
    <mergeCell ref="A50:C50"/>
    <mergeCell ref="D45:D46"/>
    <mergeCell ref="D70:D71"/>
    <mergeCell ref="E70:E71"/>
    <mergeCell ref="D72:D73"/>
    <mergeCell ref="E76:E77"/>
    <mergeCell ref="A78:C78"/>
    <mergeCell ref="A79:A114"/>
    <mergeCell ref="B79:B87"/>
    <mergeCell ref="C79:C82"/>
    <mergeCell ref="D79:D80"/>
    <mergeCell ref="E81:E82"/>
    <mergeCell ref="D96:D97"/>
    <mergeCell ref="E98:E99"/>
    <mergeCell ref="E100:E101"/>
    <mergeCell ref="D102:D103"/>
    <mergeCell ref="E102:E103"/>
    <mergeCell ref="E104:E105"/>
    <mergeCell ref="D83:D85"/>
    <mergeCell ref="E83:E85"/>
    <mergeCell ref="D86:D87"/>
    <mergeCell ref="D88:D91"/>
    <mergeCell ref="D94:D95"/>
    <mergeCell ref="E94:E95"/>
    <mergeCell ref="B329:B330"/>
    <mergeCell ref="A338:B338"/>
    <mergeCell ref="A1:O1"/>
    <mergeCell ref="A3:O3"/>
    <mergeCell ref="A4:O4"/>
    <mergeCell ref="A5:C5"/>
    <mergeCell ref="A6:O6"/>
    <mergeCell ref="F311:F315"/>
    <mergeCell ref="A321:B321"/>
    <mergeCell ref="A322:B322"/>
    <mergeCell ref="A323:B323"/>
    <mergeCell ref="C322:C323"/>
    <mergeCell ref="D322:D323"/>
    <mergeCell ref="B302:B303"/>
    <mergeCell ref="C302:C303"/>
    <mergeCell ref="D302:D303"/>
    <mergeCell ref="E302:E303"/>
    <mergeCell ref="F302:F303"/>
    <mergeCell ref="E306:E307"/>
    <mergeCell ref="F306:F310"/>
    <mergeCell ref="C135:C136"/>
    <mergeCell ref="A140:D140"/>
    <mergeCell ref="D181:D182"/>
    <mergeCell ref="E181:E182"/>
    <mergeCell ref="A7:O7"/>
    <mergeCell ref="A8:O8"/>
    <mergeCell ref="A9:O9"/>
    <mergeCell ref="A10:O10"/>
    <mergeCell ref="A11:O11"/>
    <mergeCell ref="A12:O12"/>
    <mergeCell ref="A324:B325"/>
    <mergeCell ref="D324:D325"/>
    <mergeCell ref="A326:B326"/>
    <mergeCell ref="D189:D190"/>
    <mergeCell ref="E189:E190"/>
    <mergeCell ref="B112:C112"/>
    <mergeCell ref="B113:C113"/>
    <mergeCell ref="B114:C114"/>
    <mergeCell ref="A115:D115"/>
    <mergeCell ref="A121:B121"/>
    <mergeCell ref="B122:B123"/>
    <mergeCell ref="D106:D107"/>
    <mergeCell ref="E106:E107"/>
    <mergeCell ref="C108:C111"/>
    <mergeCell ref="D108:D109"/>
    <mergeCell ref="E108:E109"/>
    <mergeCell ref="D110:D111"/>
    <mergeCell ref="E110:E111"/>
    <mergeCell ref="A19:O19"/>
    <mergeCell ref="A20:O20"/>
    <mergeCell ref="A21:O21"/>
    <mergeCell ref="A23:O23"/>
    <mergeCell ref="A24:O24"/>
    <mergeCell ref="A13:O13"/>
    <mergeCell ref="A14:O14"/>
    <mergeCell ref="A15:O15"/>
    <mergeCell ref="A16:O16"/>
    <mergeCell ref="A17:O17"/>
    <mergeCell ref="A18:O18"/>
  </mergeCells>
  <phoneticPr fontId="87" type="noConversion"/>
  <pageMargins left="0.69986110925674438" right="0.69986110925674438" top="0.75" bottom="0.75" header="0.30000001192092896" footer="0.30000001192092896"/>
  <pageSetup paperSize="9" fitToWidth="0" fitToHeight="0"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CD5B5"/>
  </sheetPr>
  <dimension ref="A1:P41"/>
  <sheetViews>
    <sheetView view="pageBreakPreview" zoomScaleNormal="100" zoomScaleSheetLayoutView="100" workbookViewId="0">
      <pane xSplit="4" ySplit="3" topLeftCell="E4" activePane="bottomRight" state="frozen"/>
      <selection pane="topRight"/>
      <selection pane="bottomLeft"/>
      <selection pane="bottomRight" activeCell="G5" sqref="G5"/>
    </sheetView>
  </sheetViews>
  <sheetFormatPr defaultColWidth="8.88671875" defaultRowHeight="13.5"/>
  <cols>
    <col min="1" max="1" width="5.6640625" style="17" customWidth="1"/>
    <col min="2" max="2" width="11.88671875" style="17" customWidth="1"/>
    <col min="3" max="3" width="19.44140625" style="18" customWidth="1"/>
    <col min="4" max="4" width="6.33203125" style="17" customWidth="1"/>
    <col min="5" max="5" width="5.109375" style="18" customWidth="1"/>
    <col min="6" max="6" width="7.44140625" style="17" customWidth="1"/>
    <col min="7" max="7" width="9.21875" style="17" customWidth="1"/>
    <col min="8" max="11" width="7.21875" style="17" customWidth="1"/>
    <col min="12" max="13" width="8.77734375" style="17" customWidth="1"/>
    <col min="14" max="14" width="8" style="17" customWidth="1"/>
    <col min="15" max="16384" width="8.88671875" style="17"/>
  </cols>
  <sheetData>
    <row r="1" spans="1:16" s="20" customFormat="1" ht="39" customHeight="1">
      <c r="A1" s="513" t="s">
        <v>590</v>
      </c>
      <c r="B1" s="514"/>
      <c r="C1" s="514"/>
      <c r="D1" s="514"/>
      <c r="E1" s="515"/>
      <c r="F1" s="514"/>
      <c r="G1" s="19"/>
      <c r="H1" s="19"/>
      <c r="I1" s="19"/>
      <c r="J1" s="19"/>
      <c r="K1" s="219"/>
      <c r="L1" s="19"/>
      <c r="M1" s="19"/>
      <c r="N1" s="19"/>
      <c r="O1" s="19"/>
      <c r="P1" s="19"/>
    </row>
    <row r="2" spans="1:16" s="14" customFormat="1" ht="23.25" customHeight="1">
      <c r="A2" s="613" t="s">
        <v>522</v>
      </c>
      <c r="B2" s="615" t="s">
        <v>587</v>
      </c>
      <c r="C2" s="615" t="s">
        <v>571</v>
      </c>
      <c r="D2" s="617" t="s">
        <v>603</v>
      </c>
      <c r="E2" s="617" t="s">
        <v>535</v>
      </c>
      <c r="F2" s="617" t="s">
        <v>519</v>
      </c>
      <c r="G2" s="617"/>
      <c r="H2" s="617" t="s">
        <v>462</v>
      </c>
      <c r="I2" s="617"/>
      <c r="J2" s="617" t="s">
        <v>454</v>
      </c>
      <c r="K2" s="617"/>
      <c r="L2" s="617" t="s">
        <v>449</v>
      </c>
      <c r="M2" s="617"/>
      <c r="N2" s="622" t="s">
        <v>602</v>
      </c>
    </row>
    <row r="3" spans="1:16" s="14" customFormat="1" ht="23.25" customHeight="1">
      <c r="A3" s="614"/>
      <c r="B3" s="616"/>
      <c r="C3" s="616"/>
      <c r="D3" s="618"/>
      <c r="E3" s="618"/>
      <c r="F3" s="221" t="s">
        <v>586</v>
      </c>
      <c r="G3" s="221" t="s">
        <v>578</v>
      </c>
      <c r="H3" s="221" t="s">
        <v>586</v>
      </c>
      <c r="I3" s="221" t="s">
        <v>578</v>
      </c>
      <c r="J3" s="221" t="s">
        <v>586</v>
      </c>
      <c r="K3" s="221" t="s">
        <v>578</v>
      </c>
      <c r="L3" s="221" t="s">
        <v>586</v>
      </c>
      <c r="M3" s="221" t="s">
        <v>578</v>
      </c>
      <c r="N3" s="623"/>
    </row>
    <row r="4" spans="1:16" s="14" customFormat="1" ht="30" customHeight="1">
      <c r="A4" s="619" t="str">
        <f>표지!A5</f>
        <v>ㅇㅇㅇㅇㅇㅇㅇㅇㅇ</v>
      </c>
      <c r="B4" s="620"/>
      <c r="C4" s="621"/>
      <c r="D4" s="610"/>
      <c r="E4" s="611"/>
      <c r="F4" s="612"/>
      <c r="G4" s="106"/>
      <c r="H4" s="106"/>
      <c r="I4" s="106"/>
      <c r="J4" s="106"/>
      <c r="K4" s="106"/>
      <c r="L4" s="106"/>
      <c r="M4" s="106"/>
      <c r="N4" s="107"/>
    </row>
    <row r="5" spans="1:16" s="14" customFormat="1" ht="30" customHeight="1">
      <c r="A5" s="108" t="s">
        <v>540</v>
      </c>
      <c r="B5" s="109" t="s">
        <v>596</v>
      </c>
      <c r="C5" s="110" t="str">
        <f>"공사비("&amp;TEXT('산근1(실시설계요율)'!V9,"#,###")&amp;"원)의 "&amp;'산근1(실시설계요율)'!O24&amp;"%"</f>
        <v>공사비(50,000,000원)의 17.09%</v>
      </c>
      <c r="D5" s="111">
        <v>1</v>
      </c>
      <c r="E5" s="110" t="s">
        <v>527</v>
      </c>
      <c r="F5" s="110"/>
      <c r="G5" s="110">
        <f>M5</f>
        <v>8545000</v>
      </c>
      <c r="H5" s="110"/>
      <c r="I5" s="110"/>
      <c r="J5" s="110"/>
      <c r="K5" s="110"/>
      <c r="L5" s="110">
        <f>'산근1(실시설계요율)'!W25</f>
        <v>8545000</v>
      </c>
      <c r="M5" s="110">
        <f>INT(L5*D5)</f>
        <v>8545000</v>
      </c>
      <c r="N5" s="112"/>
    </row>
    <row r="6" spans="1:16" s="14" customFormat="1" ht="30" customHeight="1">
      <c r="A6" s="108"/>
      <c r="B6" s="114" t="s">
        <v>610</v>
      </c>
      <c r="C6" s="105"/>
      <c r="D6" s="111">
        <v>1</v>
      </c>
      <c r="E6" s="110" t="s">
        <v>527</v>
      </c>
      <c r="F6" s="113"/>
      <c r="G6" s="113">
        <f>G5</f>
        <v>8545000</v>
      </c>
      <c r="H6" s="113"/>
      <c r="I6" s="113"/>
      <c r="J6" s="113"/>
      <c r="K6" s="113"/>
      <c r="L6" s="113"/>
      <c r="M6" s="113"/>
      <c r="N6" s="112"/>
    </row>
    <row r="7" spans="1:16" s="14" customFormat="1" ht="30" customHeight="1">
      <c r="A7" s="108" t="s">
        <v>169</v>
      </c>
      <c r="B7" s="114" t="s">
        <v>583</v>
      </c>
      <c r="C7" s="105" t="str">
        <f>"공급가액의 "&amp;'기초2(손해배상공제요율)'!C5&amp;"%"</f>
        <v>공급가액의 0.432%</v>
      </c>
      <c r="D7" s="111">
        <v>1</v>
      </c>
      <c r="E7" s="110" t="s">
        <v>527</v>
      </c>
      <c r="F7" s="113"/>
      <c r="G7" s="113">
        <f>+I7+K7+M7</f>
        <v>36000</v>
      </c>
      <c r="H7" s="113"/>
      <c r="I7" s="113"/>
      <c r="J7" s="113"/>
      <c r="K7" s="113"/>
      <c r="L7" s="113">
        <f>'산근2(손해보험공제요율)'!H17</f>
        <v>36000</v>
      </c>
      <c r="M7" s="113">
        <f>L7</f>
        <v>36000</v>
      </c>
      <c r="N7" s="112"/>
    </row>
    <row r="8" spans="1:16" s="14" customFormat="1" ht="30" customHeight="1">
      <c r="A8" s="108" t="s">
        <v>171</v>
      </c>
      <c r="B8" s="114" t="s">
        <v>601</v>
      </c>
      <c r="C8" s="105" t="s">
        <v>461</v>
      </c>
      <c r="D8" s="111">
        <v>1</v>
      </c>
      <c r="E8" s="110" t="s">
        <v>527</v>
      </c>
      <c r="F8" s="113"/>
      <c r="G8" s="234">
        <f>(G6+G7)*10%</f>
        <v>858100</v>
      </c>
      <c r="H8" s="113"/>
      <c r="I8" s="113"/>
      <c r="J8" s="113"/>
      <c r="K8" s="113"/>
      <c r="L8" s="113"/>
      <c r="M8" s="113"/>
      <c r="N8" s="112"/>
    </row>
    <row r="9" spans="1:16" s="14" customFormat="1" ht="30" customHeight="1">
      <c r="A9" s="108"/>
      <c r="B9" s="113" t="s">
        <v>585</v>
      </c>
      <c r="C9" s="105" t="s">
        <v>616</v>
      </c>
      <c r="D9" s="113"/>
      <c r="E9" s="113"/>
      <c r="F9" s="113"/>
      <c r="G9" s="113">
        <f>G7+G8+G6</f>
        <v>9439100</v>
      </c>
      <c r="H9" s="113"/>
      <c r="I9" s="113"/>
      <c r="J9" s="113"/>
      <c r="K9" s="113"/>
      <c r="L9" s="113"/>
      <c r="M9" s="113"/>
      <c r="N9" s="112"/>
    </row>
    <row r="10" spans="1:16" s="14" customFormat="1" ht="30" customHeight="1">
      <c r="A10" s="115"/>
      <c r="B10" s="170" t="s">
        <v>455</v>
      </c>
      <c r="C10" s="105"/>
      <c r="D10" s="111"/>
      <c r="E10" s="110"/>
      <c r="F10" s="113"/>
      <c r="G10" s="171">
        <f>ROUNDDOWN(G9,-4)</f>
        <v>9430000</v>
      </c>
      <c r="H10" s="216" t="s">
        <v>613</v>
      </c>
      <c r="I10" s="113"/>
      <c r="J10" s="113"/>
      <c r="K10" s="113"/>
      <c r="L10" s="113"/>
      <c r="M10" s="113"/>
      <c r="N10" s="112"/>
    </row>
    <row r="11" spans="1:16" s="14" customFormat="1" ht="30" customHeight="1">
      <c r="A11" s="115"/>
      <c r="B11" s="105"/>
      <c r="C11" s="105"/>
      <c r="D11" s="113"/>
      <c r="E11" s="113"/>
      <c r="F11" s="113"/>
      <c r="G11" s="113"/>
      <c r="H11" s="113"/>
      <c r="I11" s="113"/>
      <c r="J11" s="113"/>
      <c r="K11" s="113"/>
      <c r="L11" s="113"/>
      <c r="M11" s="113"/>
      <c r="N11" s="112"/>
    </row>
    <row r="12" spans="1:16" s="14" customFormat="1" ht="30" customHeight="1">
      <c r="A12" s="115"/>
      <c r="B12" s="105"/>
      <c r="C12" s="105"/>
      <c r="D12" s="113"/>
      <c r="E12" s="113"/>
      <c r="F12" s="113"/>
      <c r="G12" s="113"/>
      <c r="H12" s="113"/>
      <c r="I12" s="113"/>
      <c r="J12" s="113"/>
      <c r="K12" s="113"/>
      <c r="L12" s="113"/>
      <c r="M12" s="113"/>
      <c r="N12" s="112"/>
    </row>
    <row r="13" spans="1:16" s="14" customFormat="1" ht="30" customHeight="1">
      <c r="A13" s="115"/>
      <c r="B13" s="105"/>
      <c r="C13" s="105"/>
      <c r="D13" s="113"/>
      <c r="E13" s="113"/>
      <c r="F13" s="113"/>
      <c r="G13" s="113"/>
      <c r="H13" s="113"/>
      <c r="I13" s="113"/>
      <c r="J13" s="113"/>
      <c r="K13" s="113"/>
      <c r="L13" s="113"/>
      <c r="M13" s="113"/>
      <c r="N13" s="112"/>
    </row>
    <row r="14" spans="1:16" s="14" customFormat="1" ht="30" customHeight="1">
      <c r="A14" s="115"/>
      <c r="B14" s="105"/>
      <c r="C14" s="105"/>
      <c r="D14" s="113"/>
      <c r="E14" s="113"/>
      <c r="F14" s="113"/>
      <c r="G14" s="113"/>
      <c r="H14" s="113"/>
      <c r="I14" s="113"/>
      <c r="J14" s="113"/>
      <c r="K14" s="113"/>
      <c r="L14" s="113"/>
      <c r="M14" s="113"/>
      <c r="N14" s="112"/>
    </row>
    <row r="15" spans="1:16" s="14" customFormat="1" ht="30" customHeight="1">
      <c r="A15" s="115"/>
      <c r="B15" s="105"/>
      <c r="C15" s="105"/>
      <c r="D15" s="113"/>
      <c r="E15" s="113"/>
      <c r="F15" s="113"/>
      <c r="G15" s="113"/>
      <c r="H15" s="113"/>
      <c r="I15" s="113"/>
      <c r="J15" s="113"/>
      <c r="K15" s="113"/>
      <c r="L15" s="113"/>
      <c r="M15" s="113"/>
      <c r="N15" s="112"/>
    </row>
    <row r="16" spans="1:16" s="14" customFormat="1" ht="30" customHeight="1">
      <c r="A16" s="116"/>
      <c r="B16" s="117"/>
      <c r="C16" s="117"/>
      <c r="D16" s="118"/>
      <c r="E16" s="118"/>
      <c r="F16" s="118"/>
      <c r="G16" s="118"/>
      <c r="H16" s="118"/>
      <c r="I16" s="118"/>
      <c r="J16" s="118"/>
      <c r="K16" s="118"/>
      <c r="L16" s="118"/>
      <c r="M16" s="118"/>
      <c r="N16" s="119"/>
    </row>
    <row r="17" spans="1:16" s="23" customFormat="1" ht="20.100000000000001" customHeight="1">
      <c r="A17" s="21"/>
      <c r="B17" s="21"/>
      <c r="C17" s="22"/>
      <c r="D17" s="21"/>
      <c r="E17" s="22"/>
      <c r="F17" s="21"/>
      <c r="G17" s="21"/>
      <c r="H17" s="21"/>
      <c r="I17" s="21"/>
      <c r="J17" s="21"/>
      <c r="K17" s="21"/>
      <c r="L17" s="21"/>
      <c r="M17" s="21"/>
      <c r="N17" s="21"/>
      <c r="O17" s="21"/>
      <c r="P17" s="21"/>
    </row>
    <row r="18" spans="1:16" s="23" customFormat="1" ht="20.100000000000001" customHeight="1">
      <c r="A18" s="21"/>
      <c r="B18" s="21"/>
      <c r="C18" s="22"/>
      <c r="D18" s="21"/>
      <c r="E18" s="22"/>
      <c r="F18" s="21"/>
      <c r="G18" s="24"/>
      <c r="H18" s="21"/>
      <c r="I18" s="21"/>
      <c r="J18" s="21"/>
      <c r="K18" s="21"/>
      <c r="L18" s="21"/>
      <c r="M18" s="21"/>
      <c r="N18" s="21"/>
      <c r="O18" s="21"/>
      <c r="P18" s="21"/>
    </row>
    <row r="19" spans="1:16" s="23" customFormat="1" ht="20.100000000000001" customHeight="1">
      <c r="A19" s="21"/>
      <c r="B19" s="21"/>
      <c r="C19" s="22"/>
      <c r="D19" s="21"/>
      <c r="E19" s="22"/>
      <c r="F19" s="21"/>
      <c r="G19" s="25"/>
      <c r="H19" s="21"/>
      <c r="I19" s="21"/>
      <c r="J19" s="21"/>
      <c r="K19" s="21"/>
      <c r="L19" s="21"/>
      <c r="M19" s="21"/>
      <c r="N19" s="21"/>
      <c r="O19" s="21"/>
      <c r="P19" s="21"/>
    </row>
    <row r="20" spans="1:16" s="23" customFormat="1" ht="20.100000000000001" customHeight="1">
      <c r="A20" s="21"/>
      <c r="B20" s="21"/>
      <c r="C20" s="22"/>
      <c r="D20" s="21"/>
      <c r="E20" s="22"/>
      <c r="F20" s="21"/>
      <c r="G20" s="21"/>
      <c r="H20" s="21"/>
      <c r="I20" s="21"/>
      <c r="J20" s="21"/>
      <c r="K20" s="21"/>
      <c r="L20" s="21"/>
      <c r="M20" s="21"/>
      <c r="N20" s="21"/>
      <c r="O20" s="21"/>
      <c r="P20" s="21"/>
    </row>
    <row r="21" spans="1:16" s="23" customFormat="1" ht="20.100000000000001" customHeight="1">
      <c r="A21" s="21"/>
      <c r="B21" s="21"/>
      <c r="C21" s="22"/>
      <c r="D21" s="21"/>
      <c r="E21" s="22"/>
      <c r="F21" s="21"/>
      <c r="G21" s="21"/>
      <c r="H21" s="21"/>
      <c r="I21" s="21"/>
      <c r="J21" s="21"/>
      <c r="K21" s="21"/>
      <c r="L21" s="21"/>
      <c r="M21" s="21"/>
      <c r="N21" s="21"/>
      <c r="O21" s="21"/>
      <c r="P21" s="21"/>
    </row>
    <row r="22" spans="1:16" ht="20.100000000000001" customHeight="1">
      <c r="A22" s="15"/>
      <c r="B22" s="15"/>
      <c r="C22" s="16"/>
      <c r="D22" s="15"/>
      <c r="E22" s="16"/>
      <c r="F22" s="15"/>
      <c r="G22" s="15"/>
      <c r="H22" s="15"/>
      <c r="I22" s="15"/>
      <c r="J22" s="15"/>
      <c r="K22" s="15"/>
      <c r="L22" s="15"/>
      <c r="M22" s="15"/>
      <c r="N22" s="15"/>
      <c r="O22" s="15"/>
      <c r="P22" s="15"/>
    </row>
    <row r="23" spans="1:16">
      <c r="A23" s="15"/>
      <c r="B23" s="15"/>
      <c r="C23" s="16"/>
      <c r="D23" s="15"/>
      <c r="E23" s="16"/>
      <c r="F23" s="15"/>
      <c r="G23" s="15"/>
      <c r="H23" s="15"/>
      <c r="I23" s="15"/>
      <c r="J23" s="15"/>
      <c r="K23" s="15"/>
      <c r="L23" s="15"/>
      <c r="M23" s="15"/>
      <c r="N23" s="15"/>
      <c r="O23" s="15"/>
      <c r="P23" s="15"/>
    </row>
    <row r="24" spans="1:16">
      <c r="A24" s="15"/>
      <c r="B24" s="15"/>
      <c r="C24" s="16"/>
      <c r="D24" s="15"/>
      <c r="E24" s="16"/>
      <c r="F24" s="15"/>
      <c r="G24" s="15"/>
      <c r="H24" s="15"/>
      <c r="I24" s="15"/>
      <c r="J24" s="15"/>
      <c r="K24" s="15"/>
      <c r="L24" s="15"/>
      <c r="M24" s="15"/>
      <c r="N24" s="15"/>
      <c r="O24" s="15"/>
      <c r="P24" s="15"/>
    </row>
    <row r="25" spans="1:16">
      <c r="A25" s="15"/>
      <c r="B25" s="15"/>
      <c r="C25" s="16"/>
      <c r="D25" s="15"/>
      <c r="E25" s="16"/>
      <c r="F25" s="15"/>
      <c r="G25" s="15"/>
      <c r="H25" s="15"/>
      <c r="I25" s="15"/>
      <c r="J25" s="15"/>
      <c r="K25" s="15"/>
      <c r="L25" s="15"/>
      <c r="M25" s="15"/>
      <c r="N25" s="15"/>
      <c r="O25" s="15"/>
      <c r="P25" s="15"/>
    </row>
    <row r="26" spans="1:16">
      <c r="A26" s="15"/>
      <c r="B26" s="15"/>
      <c r="C26" s="16"/>
      <c r="D26" s="15"/>
      <c r="E26" s="16"/>
      <c r="F26" s="15"/>
      <c r="G26" s="15"/>
      <c r="H26" s="15"/>
      <c r="I26" s="15"/>
      <c r="J26" s="15"/>
      <c r="K26" s="15"/>
      <c r="L26" s="15"/>
      <c r="M26" s="15"/>
      <c r="N26" s="15"/>
      <c r="O26" s="15"/>
      <c r="P26" s="15"/>
    </row>
    <row r="27" spans="1:16">
      <c r="A27" s="15"/>
      <c r="B27" s="15"/>
      <c r="C27" s="16"/>
      <c r="D27" s="15"/>
      <c r="E27" s="16"/>
      <c r="F27" s="15"/>
      <c r="G27" s="15"/>
      <c r="H27" s="15"/>
      <c r="I27" s="15"/>
      <c r="J27" s="15"/>
      <c r="K27" s="15"/>
      <c r="L27" s="15"/>
      <c r="M27" s="15"/>
      <c r="N27" s="15"/>
      <c r="O27" s="15"/>
      <c r="P27" s="15"/>
    </row>
    <row r="28" spans="1:16">
      <c r="A28" s="15"/>
      <c r="B28" s="15"/>
      <c r="C28" s="16"/>
      <c r="D28" s="15"/>
      <c r="E28" s="16"/>
      <c r="F28" s="15"/>
      <c r="G28" s="15"/>
      <c r="H28" s="15"/>
      <c r="I28" s="15"/>
      <c r="J28" s="15"/>
      <c r="K28" s="15"/>
      <c r="L28" s="15"/>
      <c r="M28" s="15"/>
      <c r="N28" s="15"/>
      <c r="O28" s="15"/>
      <c r="P28" s="15"/>
    </row>
    <row r="29" spans="1:16">
      <c r="A29" s="15"/>
      <c r="B29" s="15"/>
      <c r="C29" s="16"/>
      <c r="D29" s="15"/>
      <c r="E29" s="16"/>
      <c r="F29" s="15"/>
      <c r="G29" s="15"/>
      <c r="H29" s="15"/>
      <c r="I29" s="15"/>
      <c r="J29" s="15"/>
      <c r="K29" s="15"/>
      <c r="L29" s="15"/>
      <c r="M29" s="15"/>
      <c r="N29" s="15"/>
      <c r="O29" s="15"/>
      <c r="P29" s="15"/>
    </row>
    <row r="30" spans="1:16">
      <c r="A30" s="15"/>
      <c r="B30" s="15"/>
      <c r="C30" s="16"/>
      <c r="D30" s="15"/>
      <c r="E30" s="16"/>
      <c r="F30" s="15"/>
      <c r="G30" s="15"/>
      <c r="H30" s="15"/>
      <c r="I30" s="15"/>
      <c r="J30" s="15"/>
      <c r="K30" s="15"/>
      <c r="L30" s="15"/>
      <c r="M30" s="15"/>
      <c r="N30" s="15"/>
      <c r="O30" s="15"/>
      <c r="P30" s="15"/>
    </row>
    <row r="31" spans="1:16">
      <c r="A31" s="15"/>
      <c r="B31" s="15"/>
      <c r="C31" s="16"/>
      <c r="D31" s="15"/>
      <c r="E31" s="16"/>
      <c r="F31" s="15"/>
      <c r="G31" s="15"/>
      <c r="H31" s="15"/>
      <c r="I31" s="15"/>
      <c r="J31" s="15"/>
      <c r="K31" s="15"/>
      <c r="L31" s="15"/>
      <c r="M31" s="15"/>
      <c r="N31" s="15"/>
      <c r="O31" s="15"/>
      <c r="P31" s="15"/>
    </row>
    <row r="32" spans="1:16">
      <c r="A32" s="15"/>
      <c r="B32" s="15"/>
      <c r="C32" s="16"/>
      <c r="D32" s="15"/>
      <c r="E32" s="16"/>
      <c r="F32" s="15"/>
      <c r="G32" s="15"/>
      <c r="H32" s="15"/>
      <c r="I32" s="15"/>
      <c r="J32" s="15"/>
      <c r="K32" s="15"/>
      <c r="L32" s="15"/>
      <c r="M32" s="15"/>
      <c r="N32" s="15"/>
      <c r="O32" s="15"/>
      <c r="P32" s="15"/>
    </row>
    <row r="33" spans="1:16">
      <c r="A33" s="15"/>
      <c r="B33" s="15"/>
      <c r="C33" s="16"/>
      <c r="D33" s="15"/>
      <c r="E33" s="16"/>
      <c r="F33" s="15"/>
      <c r="G33" s="15"/>
      <c r="H33" s="15"/>
      <c r="I33" s="15"/>
      <c r="J33" s="15"/>
      <c r="K33" s="15"/>
      <c r="L33" s="15"/>
      <c r="M33" s="15"/>
      <c r="N33" s="15"/>
      <c r="O33" s="15"/>
      <c r="P33" s="15"/>
    </row>
    <row r="34" spans="1:16">
      <c r="A34" s="15"/>
      <c r="B34" s="15"/>
      <c r="C34" s="16"/>
      <c r="D34" s="15"/>
      <c r="E34" s="16"/>
      <c r="F34" s="15"/>
      <c r="G34" s="15"/>
      <c r="H34" s="15"/>
      <c r="I34" s="15"/>
      <c r="J34" s="15"/>
      <c r="K34" s="15"/>
      <c r="L34" s="15"/>
      <c r="M34" s="15"/>
      <c r="N34" s="15"/>
      <c r="O34" s="15"/>
      <c r="P34" s="15"/>
    </row>
    <row r="35" spans="1:16">
      <c r="A35" s="15"/>
      <c r="B35" s="15"/>
      <c r="C35" s="16"/>
      <c r="D35" s="15"/>
      <c r="E35" s="16"/>
      <c r="F35" s="15"/>
      <c r="G35" s="15"/>
      <c r="H35" s="15"/>
      <c r="I35" s="15"/>
      <c r="J35" s="15"/>
      <c r="K35" s="15"/>
      <c r="L35" s="15"/>
      <c r="M35" s="15"/>
      <c r="N35" s="15"/>
      <c r="O35" s="15"/>
      <c r="P35" s="15"/>
    </row>
    <row r="36" spans="1:16">
      <c r="A36" s="15"/>
      <c r="B36" s="15"/>
      <c r="C36" s="16"/>
      <c r="D36" s="15"/>
      <c r="E36" s="16"/>
      <c r="F36" s="15"/>
      <c r="G36" s="15"/>
      <c r="H36" s="15"/>
      <c r="I36" s="15"/>
      <c r="J36" s="15"/>
      <c r="K36" s="15"/>
      <c r="L36" s="15"/>
      <c r="M36" s="15"/>
      <c r="N36" s="15"/>
      <c r="O36" s="15"/>
      <c r="P36" s="15"/>
    </row>
    <row r="37" spans="1:16">
      <c r="A37" s="15"/>
      <c r="B37" s="15"/>
      <c r="C37" s="16"/>
      <c r="D37" s="15"/>
      <c r="E37" s="16"/>
      <c r="F37" s="15"/>
      <c r="G37" s="15"/>
      <c r="H37" s="15"/>
      <c r="I37" s="15"/>
      <c r="J37" s="15"/>
      <c r="K37" s="15"/>
      <c r="L37" s="15"/>
      <c r="M37" s="15"/>
      <c r="N37" s="15"/>
      <c r="O37" s="15"/>
      <c r="P37" s="15"/>
    </row>
    <row r="38" spans="1:16">
      <c r="A38" s="15"/>
      <c r="B38" s="15"/>
      <c r="C38" s="16"/>
      <c r="D38" s="15"/>
      <c r="E38" s="16"/>
      <c r="F38" s="15"/>
      <c r="G38" s="15"/>
      <c r="H38" s="15"/>
      <c r="I38" s="15"/>
      <c r="J38" s="15"/>
      <c r="K38" s="15"/>
      <c r="L38" s="15"/>
      <c r="M38" s="15"/>
      <c r="N38" s="15"/>
      <c r="O38" s="15"/>
      <c r="P38" s="15"/>
    </row>
    <row r="39" spans="1:16">
      <c r="A39" s="15"/>
      <c r="B39" s="15"/>
      <c r="C39" s="16"/>
      <c r="D39" s="15"/>
      <c r="E39" s="16"/>
      <c r="F39" s="15"/>
      <c r="G39" s="15"/>
      <c r="H39" s="15"/>
      <c r="I39" s="15"/>
      <c r="J39" s="15"/>
      <c r="K39" s="15"/>
      <c r="L39" s="15"/>
      <c r="M39" s="15"/>
      <c r="N39" s="15"/>
      <c r="O39" s="15"/>
      <c r="P39" s="15"/>
    </row>
    <row r="40" spans="1:16">
      <c r="A40" s="15"/>
      <c r="B40" s="15"/>
      <c r="C40" s="16"/>
      <c r="D40" s="15"/>
      <c r="E40" s="16"/>
      <c r="F40" s="15"/>
      <c r="G40" s="15"/>
      <c r="H40" s="15"/>
      <c r="I40" s="15"/>
      <c r="J40" s="15"/>
      <c r="K40" s="15"/>
      <c r="L40" s="15"/>
      <c r="M40" s="15"/>
      <c r="N40" s="15"/>
      <c r="O40" s="15"/>
      <c r="P40" s="15"/>
    </row>
    <row r="41" spans="1:16">
      <c r="A41" s="15"/>
      <c r="B41" s="15"/>
      <c r="C41" s="16"/>
      <c r="D41" s="15"/>
      <c r="E41" s="16"/>
      <c r="F41" s="15"/>
      <c r="G41" s="15"/>
      <c r="H41" s="15"/>
      <c r="I41" s="15"/>
      <c r="J41" s="15"/>
      <c r="K41" s="15"/>
      <c r="L41" s="15"/>
      <c r="M41" s="15"/>
      <c r="N41" s="15"/>
      <c r="O41" s="15"/>
      <c r="P41" s="15"/>
    </row>
  </sheetData>
  <mergeCells count="13">
    <mergeCell ref="N2:N3"/>
    <mergeCell ref="J2:K2"/>
    <mergeCell ref="H2:I2"/>
    <mergeCell ref="L2:M2"/>
    <mergeCell ref="E2:E3"/>
    <mergeCell ref="F2:G2"/>
    <mergeCell ref="D4:F4"/>
    <mergeCell ref="A1:F1"/>
    <mergeCell ref="A2:A3"/>
    <mergeCell ref="B2:B3"/>
    <mergeCell ref="C2:C3"/>
    <mergeCell ref="D2:D3"/>
    <mergeCell ref="A4:C4"/>
  </mergeCells>
  <phoneticPr fontId="87" type="noConversion"/>
  <printOptions horizontalCentered="1"/>
  <pageMargins left="0.59041666984558105" right="0.59041666984558105" top="0.59041666984558105" bottom="0.59041666984558105" header="0.51166665554046631" footer="0.39347222447395325"/>
  <pageSetup paperSize="9" scale="97"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FCD5B5"/>
  </sheetPr>
  <dimension ref="A1:O401"/>
  <sheetViews>
    <sheetView showGridLines="0" view="pageBreakPreview" zoomScaleNormal="80" zoomScaleSheetLayoutView="100" workbookViewId="0">
      <selection activeCell="AV15" sqref="AV15"/>
    </sheetView>
  </sheetViews>
  <sheetFormatPr defaultColWidth="8.88671875" defaultRowHeight="29.1" customHeight="1"/>
  <cols>
    <col min="1" max="1" width="12.77734375" style="2" customWidth="1"/>
    <col min="2" max="3" width="7.33203125" style="2" customWidth="1"/>
    <col min="4" max="4" width="11.77734375" style="2" customWidth="1"/>
    <col min="5" max="5" width="12.77734375" style="2" customWidth="1"/>
    <col min="6" max="6" width="11.77734375" style="2" customWidth="1"/>
    <col min="7" max="7" width="12.77734375" style="2" customWidth="1"/>
    <col min="8" max="9" width="11.33203125" style="2" customWidth="1"/>
    <col min="10" max="10" width="12.5546875" style="2" customWidth="1"/>
    <col min="11" max="15" width="8.88671875" style="1"/>
    <col min="16" max="16384" width="8.88671875" style="2"/>
  </cols>
  <sheetData>
    <row r="1" spans="1:11" ht="29.1" customHeight="1">
      <c r="A1" s="43"/>
      <c r="B1" s="44"/>
      <c r="C1" s="44"/>
      <c r="D1" s="44"/>
      <c r="E1" s="218"/>
      <c r="F1" s="44"/>
      <c r="G1" s="44"/>
      <c r="H1" s="44"/>
      <c r="I1" s="44"/>
      <c r="J1" s="45"/>
      <c r="K1" s="217"/>
    </row>
    <row r="2" spans="1:11" ht="29.1" customHeight="1">
      <c r="A2" s="46"/>
      <c r="B2" s="1"/>
      <c r="C2" s="1"/>
      <c r="D2" s="1"/>
      <c r="E2" s="1"/>
      <c r="F2" s="1"/>
      <c r="G2" s="1"/>
      <c r="H2" s="1"/>
      <c r="I2" s="1"/>
      <c r="J2" s="47"/>
    </row>
    <row r="3" spans="1:11" ht="29.1" customHeight="1">
      <c r="A3" s="46"/>
      <c r="B3" s="1"/>
      <c r="C3" s="1"/>
      <c r="D3" s="1"/>
      <c r="E3" s="1"/>
      <c r="F3" s="1"/>
      <c r="G3" s="1"/>
      <c r="H3" s="1"/>
      <c r="I3" s="1"/>
      <c r="J3" s="47"/>
    </row>
    <row r="4" spans="1:11" ht="29.1" customHeight="1">
      <c r="A4" s="46"/>
      <c r="B4" s="1"/>
      <c r="C4" s="1"/>
      <c r="D4" s="1"/>
      <c r="E4" s="1"/>
      <c r="F4" s="1"/>
      <c r="G4" s="1"/>
      <c r="H4" s="1"/>
      <c r="I4" s="1"/>
      <c r="J4" s="47"/>
    </row>
    <row r="5" spans="1:11" ht="29.1" customHeight="1">
      <c r="A5" s="46"/>
      <c r="B5" s="1"/>
      <c r="C5" s="1"/>
      <c r="D5" s="1"/>
      <c r="E5" s="1"/>
      <c r="F5" s="1"/>
      <c r="G5" s="1"/>
      <c r="H5" s="1"/>
      <c r="I5" s="1"/>
      <c r="J5" s="47"/>
    </row>
    <row r="6" spans="1:11" ht="29.1" customHeight="1">
      <c r="A6" s="624" t="s">
        <v>463</v>
      </c>
      <c r="B6" s="625"/>
      <c r="C6" s="625"/>
      <c r="D6" s="625"/>
      <c r="E6" s="625"/>
      <c r="F6" s="625"/>
      <c r="G6" s="625"/>
      <c r="H6" s="625"/>
      <c r="I6" s="625"/>
      <c r="J6" s="626"/>
    </row>
    <row r="7" spans="1:11" ht="29.1" customHeight="1">
      <c r="A7" s="624"/>
      <c r="B7" s="625"/>
      <c r="C7" s="625"/>
      <c r="D7" s="625"/>
      <c r="E7" s="625"/>
      <c r="F7" s="625"/>
      <c r="G7" s="625"/>
      <c r="H7" s="625"/>
      <c r="I7" s="625"/>
      <c r="J7" s="626"/>
    </row>
    <row r="8" spans="1:11" ht="29.1" customHeight="1">
      <c r="A8" s="46"/>
      <c r="B8" s="1"/>
      <c r="C8" s="1"/>
      <c r="D8" s="1"/>
      <c r="E8" s="1"/>
      <c r="F8" s="1"/>
      <c r="G8" s="1"/>
      <c r="H8" s="1"/>
      <c r="I8" s="1"/>
      <c r="J8" s="47"/>
    </row>
    <row r="9" spans="1:11" ht="29.1" customHeight="1">
      <c r="A9" s="46"/>
      <c r="B9" s="1"/>
      <c r="C9" s="1"/>
      <c r="D9" s="1"/>
      <c r="E9" s="1"/>
      <c r="F9" s="1"/>
      <c r="G9" s="1"/>
      <c r="H9" s="1"/>
      <c r="I9" s="1"/>
      <c r="J9" s="47"/>
    </row>
    <row r="10" spans="1:11" ht="29.1" customHeight="1">
      <c r="A10" s="46"/>
      <c r="B10" s="1"/>
      <c r="C10" s="1"/>
      <c r="D10" s="1"/>
      <c r="E10" s="1"/>
      <c r="F10" s="1"/>
      <c r="G10" s="1"/>
      <c r="H10" s="1"/>
      <c r="I10" s="1"/>
      <c r="J10" s="47"/>
    </row>
    <row r="11" spans="1:11" ht="29.1" customHeight="1">
      <c r="A11" s="46"/>
      <c r="B11" s="1"/>
      <c r="C11" s="1"/>
      <c r="D11" s="1"/>
      <c r="E11" s="1"/>
      <c r="F11" s="1"/>
      <c r="G11" s="1"/>
      <c r="H11" s="1"/>
      <c r="I11" s="1"/>
      <c r="J11" s="47"/>
    </row>
    <row r="12" spans="1:11" ht="29.1" customHeight="1">
      <c r="A12" s="46"/>
      <c r="B12" s="1"/>
      <c r="C12" s="1"/>
      <c r="D12" s="1"/>
      <c r="E12" s="1"/>
      <c r="F12" s="1"/>
      <c r="G12" s="1"/>
      <c r="H12" s="1"/>
      <c r="I12" s="1"/>
      <c r="J12" s="47"/>
    </row>
    <row r="13" spans="1:11" ht="29.1" customHeight="1">
      <c r="A13" s="46"/>
      <c r="B13" s="1"/>
      <c r="C13" s="1"/>
      <c r="D13" s="1"/>
      <c r="E13" s="1"/>
      <c r="F13" s="1"/>
      <c r="G13" s="1"/>
      <c r="H13" s="1"/>
      <c r="I13" s="1"/>
      <c r="J13" s="47"/>
    </row>
    <row r="14" spans="1:11" ht="29.1" customHeight="1">
      <c r="A14" s="46"/>
      <c r="B14" s="1"/>
      <c r="C14" s="1"/>
      <c r="D14" s="1"/>
      <c r="E14" s="1"/>
      <c r="F14" s="1"/>
      <c r="G14" s="1"/>
      <c r="H14" s="1"/>
      <c r="I14" s="1"/>
      <c r="J14" s="47"/>
    </row>
    <row r="15" spans="1:11" ht="29.1" customHeight="1">
      <c r="A15" s="48"/>
      <c r="B15" s="49"/>
      <c r="C15" s="49"/>
      <c r="D15" s="49"/>
      <c r="E15" s="49"/>
      <c r="F15" s="49"/>
      <c r="G15" s="49"/>
      <c r="H15" s="49"/>
      <c r="I15" s="49"/>
      <c r="J15" s="50"/>
    </row>
    <row r="16" spans="1:11" s="1" customFormat="1" ht="29.1" customHeight="1"/>
    <row r="17" s="1" customFormat="1" ht="29.1" customHeight="1"/>
    <row r="18" s="1" customFormat="1" ht="29.1" customHeight="1"/>
    <row r="19" s="1" customFormat="1" ht="29.1" customHeight="1"/>
    <row r="20" s="1" customFormat="1" ht="29.1" customHeight="1"/>
    <row r="21" s="1" customFormat="1" ht="29.1" customHeight="1"/>
    <row r="22" s="1" customFormat="1" ht="29.1" customHeight="1"/>
    <row r="23" s="1" customFormat="1" ht="29.1" customHeight="1"/>
    <row r="24" s="1" customFormat="1" ht="29.1" customHeight="1"/>
    <row r="25" s="1" customFormat="1" ht="29.1" customHeight="1"/>
    <row r="26" s="1" customFormat="1" ht="29.1" customHeight="1"/>
    <row r="27" s="1" customFormat="1" ht="29.1" customHeight="1"/>
    <row r="28" s="1" customFormat="1" ht="29.1" customHeight="1"/>
    <row r="29" s="1" customFormat="1" ht="29.1" customHeight="1"/>
    <row r="30" s="1" customFormat="1" ht="29.1" customHeight="1"/>
    <row r="31" s="1" customFormat="1" ht="29.1" customHeight="1"/>
    <row r="32" s="1" customFormat="1" ht="29.1" customHeight="1"/>
    <row r="33" s="1" customFormat="1" ht="29.1" customHeight="1"/>
    <row r="34" s="1" customFormat="1" ht="29.1" customHeight="1"/>
    <row r="35" s="1" customFormat="1" ht="29.1" customHeight="1"/>
    <row r="36" s="1" customFormat="1" ht="29.1" customHeight="1"/>
    <row r="37" s="1" customFormat="1" ht="29.1" customHeight="1"/>
    <row r="38" s="1" customFormat="1" ht="29.1" customHeight="1"/>
    <row r="39" s="1" customFormat="1" ht="29.1" customHeight="1"/>
    <row r="40" s="1" customFormat="1" ht="29.1" customHeight="1"/>
    <row r="41" s="1" customFormat="1" ht="29.1" customHeight="1"/>
    <row r="42" s="1" customFormat="1" ht="29.1" customHeight="1"/>
    <row r="43" s="1" customFormat="1" ht="29.1" customHeight="1"/>
    <row r="44" s="1" customFormat="1" ht="29.1" customHeight="1"/>
    <row r="45" s="1" customFormat="1" ht="29.1" customHeight="1"/>
    <row r="46" s="1" customFormat="1" ht="29.1" customHeight="1"/>
    <row r="47" s="1" customFormat="1" ht="29.1" customHeight="1"/>
    <row r="48" s="1" customFormat="1" ht="29.1" customHeight="1"/>
    <row r="49" s="1" customFormat="1" ht="29.1" customHeight="1"/>
    <row r="50" s="1" customFormat="1" ht="29.1" customHeight="1"/>
    <row r="51" s="1" customFormat="1" ht="29.1" customHeight="1"/>
    <row r="52" s="1" customFormat="1" ht="29.1" customHeight="1"/>
    <row r="53" s="1" customFormat="1" ht="29.1" customHeight="1"/>
    <row r="54" s="1" customFormat="1" ht="29.1" customHeight="1"/>
    <row r="55" s="1" customFormat="1" ht="29.1" customHeight="1"/>
    <row r="56" s="1" customFormat="1" ht="29.1" customHeight="1"/>
    <row r="57" s="1" customFormat="1" ht="29.1" customHeight="1"/>
    <row r="58" s="1" customFormat="1" ht="29.1" customHeight="1"/>
    <row r="59" s="1" customFormat="1" ht="29.1" customHeight="1"/>
    <row r="60" s="1" customFormat="1" ht="29.1" customHeight="1"/>
    <row r="61" s="1" customFormat="1" ht="29.1" customHeight="1"/>
    <row r="62" s="1" customFormat="1" ht="29.1" customHeight="1"/>
    <row r="63" s="1" customFormat="1" ht="29.1" customHeight="1"/>
    <row r="64" s="1" customFormat="1" ht="29.1" customHeight="1"/>
    <row r="65" s="1" customFormat="1" ht="29.1" customHeight="1"/>
    <row r="66" s="1" customFormat="1" ht="29.1" customHeight="1"/>
    <row r="67" s="1" customFormat="1" ht="29.1" customHeight="1"/>
    <row r="68" s="1" customFormat="1" ht="29.1" customHeight="1"/>
    <row r="69" s="1" customFormat="1" ht="29.1" customHeight="1"/>
    <row r="70" s="1" customFormat="1" ht="29.1" customHeight="1"/>
    <row r="71" s="1" customFormat="1" ht="29.1" customHeight="1"/>
    <row r="72" s="1" customFormat="1" ht="29.1" customHeight="1"/>
    <row r="73" s="1" customFormat="1" ht="29.1" customHeight="1"/>
    <row r="74" s="1" customFormat="1" ht="29.1" customHeight="1"/>
    <row r="75" s="1" customFormat="1" ht="29.1" customHeight="1"/>
    <row r="76" s="1" customFormat="1" ht="29.1" customHeight="1"/>
    <row r="77" s="1" customFormat="1" ht="29.1" customHeight="1"/>
    <row r="78" s="1" customFormat="1" ht="29.1" customHeight="1"/>
    <row r="79" s="1" customFormat="1" ht="29.1" customHeight="1"/>
    <row r="80" s="1" customFormat="1" ht="29.1" customHeight="1"/>
    <row r="81" s="1" customFormat="1" ht="29.1" customHeight="1"/>
    <row r="82" s="1" customFormat="1" ht="29.1" customHeight="1"/>
    <row r="83" s="1" customFormat="1" ht="29.1" customHeight="1"/>
    <row r="84" s="1" customFormat="1" ht="29.1" customHeight="1"/>
    <row r="85" s="1" customFormat="1" ht="29.1" customHeight="1"/>
    <row r="86" s="1" customFormat="1" ht="29.1" customHeight="1"/>
    <row r="87" s="1" customFormat="1" ht="29.1" customHeight="1"/>
    <row r="88" s="1" customFormat="1" ht="29.1" customHeight="1"/>
    <row r="89" s="1" customFormat="1" ht="29.1" customHeight="1"/>
    <row r="90" s="1" customFormat="1" ht="29.1" customHeight="1"/>
    <row r="91" s="1" customFormat="1" ht="29.1" customHeight="1"/>
    <row r="92" s="1" customFormat="1" ht="29.1" customHeight="1"/>
    <row r="93" s="1" customFormat="1" ht="29.1" customHeight="1"/>
    <row r="94" s="1" customFormat="1" ht="29.1" customHeight="1"/>
    <row r="95" s="1" customFormat="1" ht="29.1" customHeight="1"/>
    <row r="96" s="1" customFormat="1" ht="29.1" customHeight="1"/>
    <row r="97" s="1" customFormat="1" ht="29.1" customHeight="1"/>
    <row r="98" s="1" customFormat="1" ht="29.1" customHeight="1"/>
    <row r="99" s="1" customFormat="1" ht="29.1" customHeight="1"/>
    <row r="100" s="1" customFormat="1" ht="29.1" customHeight="1"/>
    <row r="101" s="1" customFormat="1" ht="29.1" customHeight="1"/>
    <row r="102" s="1" customFormat="1" ht="29.1" customHeight="1"/>
    <row r="103" s="1" customFormat="1" ht="29.1" customHeight="1"/>
    <row r="104" s="1" customFormat="1" ht="29.1" customHeight="1"/>
    <row r="105" s="1" customFormat="1" ht="29.1" customHeight="1"/>
    <row r="106" s="1" customFormat="1" ht="29.1" customHeight="1"/>
    <row r="107" s="1" customFormat="1" ht="29.1" customHeight="1"/>
    <row r="108" s="1" customFormat="1" ht="29.1" customHeight="1"/>
    <row r="109" s="1" customFormat="1" ht="29.1" customHeight="1"/>
    <row r="110" s="1" customFormat="1" ht="29.1" customHeight="1"/>
    <row r="111" s="1" customFormat="1" ht="29.1" customHeight="1"/>
    <row r="112" s="1" customFormat="1" ht="29.1" customHeight="1"/>
    <row r="113" s="1" customFormat="1" ht="29.1" customHeight="1"/>
    <row r="114" s="1" customFormat="1" ht="29.1" customHeight="1"/>
    <row r="115" s="1" customFormat="1" ht="29.1" customHeight="1"/>
    <row r="116" s="1" customFormat="1" ht="29.1" customHeight="1"/>
    <row r="117" s="1" customFormat="1" ht="29.1" customHeight="1"/>
    <row r="118" s="1" customFormat="1" ht="29.1" customHeight="1"/>
    <row r="119" s="1" customFormat="1" ht="29.1" customHeight="1"/>
    <row r="120" s="1" customFormat="1" ht="29.1" customHeight="1"/>
    <row r="121" s="1" customFormat="1" ht="29.1" customHeight="1"/>
    <row r="122" s="1" customFormat="1" ht="29.1" customHeight="1"/>
    <row r="123" s="1" customFormat="1" ht="29.1" customHeight="1"/>
    <row r="124" s="1" customFormat="1" ht="29.1" customHeight="1"/>
    <row r="125" s="1" customFormat="1" ht="29.1" customHeight="1"/>
    <row r="126" s="1" customFormat="1" ht="29.1" customHeight="1"/>
    <row r="127" s="1" customFormat="1" ht="29.1" customHeight="1"/>
    <row r="128" s="1" customFormat="1" ht="29.1" customHeight="1"/>
    <row r="129" s="1" customFormat="1" ht="29.1" customHeight="1"/>
    <row r="130" s="1" customFormat="1" ht="29.1" customHeight="1"/>
    <row r="131" s="1" customFormat="1" ht="29.1" customHeight="1"/>
    <row r="132" s="1" customFormat="1" ht="29.1" customHeight="1"/>
    <row r="133" s="1" customFormat="1" ht="29.1" customHeight="1"/>
    <row r="134" s="1" customFormat="1" ht="29.1" customHeight="1"/>
    <row r="135" s="1" customFormat="1" ht="29.1" customHeight="1"/>
    <row r="136" s="1" customFormat="1" ht="29.1" customHeight="1"/>
    <row r="137" s="1" customFormat="1" ht="29.1" customHeight="1"/>
    <row r="138" s="1" customFormat="1" ht="29.1" customHeight="1"/>
    <row r="139" s="1" customFormat="1" ht="29.1" customHeight="1"/>
    <row r="140" s="1" customFormat="1" ht="29.1" customHeight="1"/>
    <row r="141" s="1" customFormat="1" ht="29.1" customHeight="1"/>
    <row r="142" s="1" customFormat="1" ht="29.1" customHeight="1"/>
    <row r="143" s="1" customFormat="1" ht="29.1" customHeight="1"/>
    <row r="144" s="1" customFormat="1" ht="29.1" customHeight="1"/>
    <row r="145" s="1" customFormat="1" ht="29.1" customHeight="1"/>
    <row r="146" s="1" customFormat="1" ht="29.1" customHeight="1"/>
    <row r="147" s="1" customFormat="1" ht="29.1" customHeight="1"/>
    <row r="148" s="1" customFormat="1" ht="29.1" customHeight="1"/>
    <row r="149" s="1" customFormat="1" ht="29.1" customHeight="1"/>
    <row r="150" s="1" customFormat="1" ht="29.1" customHeight="1"/>
    <row r="151" s="1" customFormat="1" ht="29.1" customHeight="1"/>
    <row r="152" s="1" customFormat="1" ht="29.1" customHeight="1"/>
    <row r="153" s="1" customFormat="1" ht="29.1" customHeight="1"/>
    <row r="154" s="1" customFormat="1" ht="29.1" customHeight="1"/>
    <row r="155" s="1" customFormat="1" ht="29.1" customHeight="1"/>
    <row r="156" s="1" customFormat="1" ht="29.1" customHeight="1"/>
    <row r="157" s="1" customFormat="1" ht="29.1" customHeight="1"/>
    <row r="158" s="1" customFormat="1" ht="29.1" customHeight="1"/>
    <row r="159" s="1" customFormat="1" ht="29.1" customHeight="1"/>
    <row r="160" s="1" customFormat="1" ht="29.1" customHeight="1"/>
    <row r="161" s="1" customFormat="1" ht="29.1" customHeight="1"/>
    <row r="162" s="1" customFormat="1" ht="29.1" customHeight="1"/>
    <row r="163" s="1" customFormat="1" ht="29.1" customHeight="1"/>
    <row r="164" s="1" customFormat="1" ht="29.1" customHeight="1"/>
    <row r="165" s="1" customFormat="1" ht="29.1" customHeight="1"/>
    <row r="166" s="1" customFormat="1" ht="29.1" customHeight="1"/>
    <row r="167" s="1" customFormat="1" ht="29.1" customHeight="1"/>
    <row r="168" s="1" customFormat="1" ht="29.1" customHeight="1"/>
    <row r="169" s="1" customFormat="1" ht="29.1" customHeight="1"/>
    <row r="170" s="1" customFormat="1" ht="29.1" customHeight="1"/>
    <row r="171" s="1" customFormat="1" ht="29.1" customHeight="1"/>
    <row r="172" s="1" customFormat="1" ht="29.1" customHeight="1"/>
    <row r="173" s="1" customFormat="1" ht="29.1" customHeight="1"/>
    <row r="174" s="1" customFormat="1" ht="29.1" customHeight="1"/>
    <row r="175" s="1" customFormat="1" ht="29.1" customHeight="1"/>
    <row r="176" s="1" customFormat="1" ht="29.1" customHeight="1"/>
    <row r="177" s="1" customFormat="1" ht="29.1" customHeight="1"/>
    <row r="178" s="1" customFormat="1" ht="29.1" customHeight="1"/>
    <row r="179" s="1" customFormat="1" ht="29.1" customHeight="1"/>
    <row r="180" s="1" customFormat="1" ht="29.1" customHeight="1"/>
    <row r="181" s="1" customFormat="1" ht="29.1" customHeight="1"/>
    <row r="182" s="1" customFormat="1" ht="29.1" customHeight="1"/>
    <row r="183" s="1" customFormat="1" ht="29.1" customHeight="1"/>
    <row r="184" s="1" customFormat="1" ht="29.1" customHeight="1"/>
    <row r="185" s="1" customFormat="1" ht="29.1" customHeight="1"/>
    <row r="186" s="1" customFormat="1" ht="29.1" customHeight="1"/>
    <row r="187" s="1" customFormat="1" ht="29.1" customHeight="1"/>
    <row r="188" s="1" customFormat="1" ht="29.1" customHeight="1"/>
    <row r="189" s="1" customFormat="1" ht="29.1" customHeight="1"/>
    <row r="190" s="1" customFormat="1" ht="29.1" customHeight="1"/>
    <row r="191" s="1" customFormat="1" ht="29.1" customHeight="1"/>
    <row r="192" s="1" customFormat="1" ht="29.1" customHeight="1"/>
    <row r="193" s="1" customFormat="1" ht="29.1" customHeight="1"/>
    <row r="194" s="1" customFormat="1" ht="29.1" customHeight="1"/>
    <row r="195" s="1" customFormat="1" ht="29.1" customHeight="1"/>
    <row r="196" s="1" customFormat="1" ht="29.1" customHeight="1"/>
    <row r="197" s="1" customFormat="1" ht="29.1" customHeight="1"/>
    <row r="198" s="1" customFormat="1" ht="29.1" customHeight="1"/>
    <row r="199" s="1" customFormat="1" ht="29.1" customHeight="1"/>
    <row r="200" s="1" customFormat="1" ht="29.1" customHeight="1"/>
    <row r="201" s="1" customFormat="1" ht="29.1" customHeight="1"/>
    <row r="202" s="1" customFormat="1" ht="29.1" customHeight="1"/>
    <row r="203" s="1" customFormat="1" ht="29.1" customHeight="1"/>
    <row r="204" s="1" customFormat="1" ht="29.1" customHeight="1"/>
    <row r="205" s="1" customFormat="1" ht="29.1" customHeight="1"/>
    <row r="206" s="1" customFormat="1" ht="29.1" customHeight="1"/>
    <row r="207" s="1" customFormat="1" ht="29.1" customHeight="1"/>
    <row r="208" s="1" customFormat="1" ht="29.1" customHeight="1"/>
    <row r="209" s="1" customFormat="1" ht="29.1" customHeight="1"/>
    <row r="210" s="1" customFormat="1" ht="29.1" customHeight="1"/>
    <row r="211" s="1" customFormat="1" ht="29.1" customHeight="1"/>
    <row r="212" s="1" customFormat="1" ht="29.1" customHeight="1"/>
    <row r="213" s="1" customFormat="1" ht="29.1" customHeight="1"/>
    <row r="214" s="1" customFormat="1" ht="29.1" customHeight="1"/>
    <row r="215" s="1" customFormat="1" ht="29.1" customHeight="1"/>
    <row r="216" s="1" customFormat="1" ht="29.1" customHeight="1"/>
    <row r="217" s="1" customFormat="1" ht="29.1" customHeight="1"/>
    <row r="218" s="1" customFormat="1" ht="29.1" customHeight="1"/>
    <row r="219" s="1" customFormat="1" ht="29.1" customHeight="1"/>
    <row r="220" s="1" customFormat="1" ht="29.1" customHeight="1"/>
    <row r="221" s="1" customFormat="1" ht="29.1" customHeight="1"/>
    <row r="222" s="1" customFormat="1" ht="29.1" customHeight="1"/>
    <row r="223" s="1" customFormat="1" ht="29.1" customHeight="1"/>
    <row r="224" s="1" customFormat="1" ht="29.1" customHeight="1"/>
    <row r="225" s="1" customFormat="1" ht="29.1" customHeight="1"/>
    <row r="226" s="1" customFormat="1" ht="29.1" customHeight="1"/>
    <row r="227" s="1" customFormat="1" ht="29.1" customHeight="1"/>
    <row r="228" s="1" customFormat="1" ht="29.1" customHeight="1"/>
    <row r="229" s="1" customFormat="1" ht="29.1" customHeight="1"/>
    <row r="230" s="1" customFormat="1" ht="29.1" customHeight="1"/>
    <row r="231" s="1" customFormat="1" ht="29.1" customHeight="1"/>
    <row r="232" s="1" customFormat="1" ht="29.1" customHeight="1"/>
    <row r="233" s="1" customFormat="1" ht="29.1" customHeight="1"/>
    <row r="234" s="1" customFormat="1" ht="29.1" customHeight="1"/>
    <row r="235" s="1" customFormat="1" ht="29.1" customHeight="1"/>
    <row r="236" s="1" customFormat="1" ht="29.1" customHeight="1"/>
    <row r="237" s="1" customFormat="1" ht="29.1" customHeight="1"/>
    <row r="238" s="1" customFormat="1" ht="29.1" customHeight="1"/>
    <row r="239" s="1" customFormat="1" ht="29.1" customHeight="1"/>
    <row r="240" s="1" customFormat="1" ht="29.1" customHeight="1"/>
    <row r="241" s="1" customFormat="1" ht="29.1" customHeight="1"/>
    <row r="242" s="1" customFormat="1" ht="29.1" customHeight="1"/>
    <row r="243" s="1" customFormat="1" ht="29.1" customHeight="1"/>
    <row r="244" s="1" customFormat="1" ht="29.1" customHeight="1"/>
    <row r="245" s="1" customFormat="1" ht="29.1" customHeight="1"/>
    <row r="246" s="1" customFormat="1" ht="29.1" customHeight="1"/>
    <row r="247" s="1" customFormat="1" ht="29.1" customHeight="1"/>
    <row r="248" s="1" customFormat="1" ht="29.1" customHeight="1"/>
    <row r="249" s="1" customFormat="1" ht="29.1" customHeight="1"/>
    <row r="250" s="1" customFormat="1" ht="29.1" customHeight="1"/>
    <row r="251" s="1" customFormat="1" ht="29.1" customHeight="1"/>
    <row r="252" s="1" customFormat="1" ht="29.1" customHeight="1"/>
    <row r="253" s="1" customFormat="1" ht="29.1" customHeight="1"/>
    <row r="254" s="1" customFormat="1" ht="29.1" customHeight="1"/>
    <row r="255" s="1" customFormat="1" ht="29.1" customHeight="1"/>
    <row r="256" s="1" customFormat="1" ht="29.1" customHeight="1"/>
    <row r="257" s="1" customFormat="1" ht="29.1" customHeight="1"/>
    <row r="258" s="1" customFormat="1" ht="29.1" customHeight="1"/>
    <row r="259" s="1" customFormat="1" ht="29.1" customHeight="1"/>
    <row r="260" s="1" customFormat="1" ht="29.1" customHeight="1"/>
    <row r="261" s="1" customFormat="1" ht="29.1" customHeight="1"/>
    <row r="262" s="1" customFormat="1" ht="29.1" customHeight="1"/>
    <row r="263" s="1" customFormat="1" ht="29.1" customHeight="1"/>
    <row r="264" s="1" customFormat="1" ht="29.1" customHeight="1"/>
    <row r="265" s="1" customFormat="1" ht="29.1" customHeight="1"/>
    <row r="266" s="1" customFormat="1" ht="29.1" customHeight="1"/>
    <row r="267" s="1" customFormat="1" ht="29.1" customHeight="1"/>
    <row r="268" s="1" customFormat="1" ht="29.1" customHeight="1"/>
    <row r="269" s="1" customFormat="1" ht="29.1" customHeight="1"/>
    <row r="270" s="1" customFormat="1" ht="29.1" customHeight="1"/>
    <row r="271" s="1" customFormat="1" ht="29.1" customHeight="1"/>
    <row r="272" s="1" customFormat="1" ht="29.1" customHeight="1"/>
    <row r="273" s="1" customFormat="1" ht="29.1" customHeight="1"/>
    <row r="274" s="1" customFormat="1" ht="29.1" customHeight="1"/>
    <row r="275" s="1" customFormat="1" ht="29.1" customHeight="1"/>
    <row r="276" s="1" customFormat="1" ht="29.1" customHeight="1"/>
    <row r="277" s="1" customFormat="1" ht="29.1" customHeight="1"/>
    <row r="278" s="1" customFormat="1" ht="29.1" customHeight="1"/>
    <row r="279" s="1" customFormat="1" ht="29.1" customHeight="1"/>
    <row r="280" s="1" customFormat="1" ht="29.1" customHeight="1"/>
    <row r="281" s="1" customFormat="1" ht="29.1" customHeight="1"/>
    <row r="282" s="1" customFormat="1" ht="29.1" customHeight="1"/>
    <row r="283" s="1" customFormat="1" ht="29.1" customHeight="1"/>
    <row r="284" s="1" customFormat="1" ht="29.1" customHeight="1"/>
    <row r="285" s="1" customFormat="1" ht="29.1" customHeight="1"/>
    <row r="286" s="1" customFormat="1" ht="29.1" customHeight="1"/>
    <row r="287" s="1" customFormat="1" ht="29.1" customHeight="1"/>
    <row r="288" s="1" customFormat="1" ht="29.1" customHeight="1"/>
    <row r="289" s="1" customFormat="1" ht="29.1" customHeight="1"/>
    <row r="290" s="1" customFormat="1" ht="29.1" customHeight="1"/>
    <row r="291" s="1" customFormat="1" ht="29.1" customHeight="1"/>
    <row r="292" s="1" customFormat="1" ht="29.1" customHeight="1"/>
    <row r="293" s="1" customFormat="1" ht="29.1" customHeight="1"/>
    <row r="294" s="1" customFormat="1" ht="29.1" customHeight="1"/>
    <row r="295" s="1" customFormat="1" ht="29.1" customHeight="1"/>
    <row r="296" s="1" customFormat="1" ht="29.1" customHeight="1"/>
    <row r="297" s="1" customFormat="1" ht="29.1" customHeight="1"/>
    <row r="298" s="1" customFormat="1" ht="29.1" customHeight="1"/>
    <row r="299" s="1" customFormat="1" ht="29.1" customHeight="1"/>
    <row r="300" s="1" customFormat="1" ht="29.1" customHeight="1"/>
    <row r="301" s="1" customFormat="1" ht="29.1" customHeight="1"/>
    <row r="302" s="1" customFormat="1" ht="29.1" customHeight="1"/>
    <row r="303" s="1" customFormat="1" ht="29.1" customHeight="1"/>
    <row r="304" s="1" customFormat="1" ht="29.1" customHeight="1"/>
    <row r="305" s="1" customFormat="1" ht="29.1" customHeight="1"/>
    <row r="306" s="1" customFormat="1" ht="29.1" customHeight="1"/>
    <row r="307" s="1" customFormat="1" ht="29.1" customHeight="1"/>
    <row r="308" s="1" customFormat="1" ht="29.1" customHeight="1"/>
    <row r="309" s="1" customFormat="1" ht="29.1" customHeight="1"/>
    <row r="310" s="1" customFormat="1" ht="29.1" customHeight="1"/>
    <row r="311" s="1" customFormat="1" ht="29.1" customHeight="1"/>
    <row r="312" s="1" customFormat="1" ht="29.1" customHeight="1"/>
    <row r="313" s="1" customFormat="1" ht="29.1" customHeight="1"/>
    <row r="314" s="1" customFormat="1" ht="29.1" customHeight="1"/>
    <row r="315" s="1" customFormat="1" ht="29.1" customHeight="1"/>
    <row r="316" s="1" customFormat="1" ht="29.1" customHeight="1"/>
    <row r="317" s="1" customFormat="1" ht="29.1" customHeight="1"/>
    <row r="318" s="1" customFormat="1" ht="29.1" customHeight="1"/>
    <row r="319" s="1" customFormat="1" ht="29.1" customHeight="1"/>
    <row r="320" s="1" customFormat="1" ht="29.1" customHeight="1"/>
    <row r="321" s="1" customFormat="1" ht="29.1" customHeight="1"/>
    <row r="322" s="1" customFormat="1" ht="29.1" customHeight="1"/>
    <row r="323" s="1" customFormat="1" ht="29.1" customHeight="1"/>
    <row r="324" s="1" customFormat="1" ht="29.1" customHeight="1"/>
    <row r="325" s="1" customFormat="1" ht="29.1" customHeight="1"/>
    <row r="326" s="1" customFormat="1" ht="29.1" customHeight="1"/>
    <row r="327" s="1" customFormat="1" ht="29.1" customHeight="1"/>
    <row r="328" s="1" customFormat="1" ht="29.1" customHeight="1"/>
    <row r="329" s="1" customFormat="1" ht="29.1" customHeight="1"/>
    <row r="330" s="1" customFormat="1" ht="29.1" customHeight="1"/>
    <row r="331" s="1" customFormat="1" ht="29.1" customHeight="1"/>
    <row r="332" s="1" customFormat="1" ht="29.1" customHeight="1"/>
    <row r="333" s="1" customFormat="1" ht="29.1" customHeight="1"/>
    <row r="334" s="1" customFormat="1" ht="29.1" customHeight="1"/>
    <row r="335" s="1" customFormat="1" ht="29.1" customHeight="1"/>
    <row r="336" s="1" customFormat="1" ht="29.1" customHeight="1"/>
    <row r="337" s="1" customFormat="1" ht="29.1" customHeight="1"/>
    <row r="338" s="1" customFormat="1" ht="29.1" customHeight="1"/>
    <row r="339" s="1" customFormat="1" ht="29.1" customHeight="1"/>
    <row r="340" s="1" customFormat="1" ht="29.1" customHeight="1"/>
    <row r="341" s="1" customFormat="1" ht="29.1" customHeight="1"/>
    <row r="342" s="1" customFormat="1" ht="29.1" customHeight="1"/>
    <row r="343" s="1" customFormat="1" ht="29.1" customHeight="1"/>
    <row r="344" s="1" customFormat="1" ht="29.1" customHeight="1"/>
    <row r="345" s="1" customFormat="1" ht="29.1" customHeight="1"/>
    <row r="346" s="1" customFormat="1" ht="29.1" customHeight="1"/>
    <row r="347" s="1" customFormat="1" ht="29.1" customHeight="1"/>
    <row r="348" s="1" customFormat="1" ht="29.1" customHeight="1"/>
    <row r="349" s="1" customFormat="1" ht="29.1" customHeight="1"/>
    <row r="350" s="1" customFormat="1" ht="29.1" customHeight="1"/>
    <row r="351" s="1" customFormat="1" ht="29.1" customHeight="1"/>
    <row r="352" s="1" customFormat="1" ht="29.1" customHeight="1"/>
    <row r="353" s="1" customFormat="1" ht="29.1" customHeight="1"/>
    <row r="354" s="1" customFormat="1" ht="29.1" customHeight="1"/>
    <row r="355" s="1" customFormat="1" ht="29.1" customHeight="1"/>
    <row r="356" s="1" customFormat="1" ht="29.1" customHeight="1"/>
    <row r="357" s="1" customFormat="1" ht="29.1" customHeight="1"/>
    <row r="358" s="1" customFormat="1" ht="29.1" customHeight="1"/>
    <row r="359" s="1" customFormat="1" ht="29.1" customHeight="1"/>
    <row r="360" s="1" customFormat="1" ht="29.1" customHeight="1"/>
    <row r="361" s="1" customFormat="1" ht="29.1" customHeight="1"/>
    <row r="362" s="1" customFormat="1" ht="29.1" customHeight="1"/>
    <row r="363" s="1" customFormat="1" ht="29.1" customHeight="1"/>
    <row r="364" s="1" customFormat="1" ht="29.1" customHeight="1"/>
    <row r="365" s="1" customFormat="1" ht="29.1" customHeight="1"/>
    <row r="366" s="1" customFormat="1" ht="29.1" customHeight="1"/>
    <row r="367" s="1" customFormat="1" ht="29.1" customHeight="1"/>
    <row r="368" s="1" customFormat="1" ht="29.1" customHeight="1"/>
    <row r="369" s="1" customFormat="1" ht="29.1" customHeight="1"/>
    <row r="370" s="1" customFormat="1" ht="29.1" customHeight="1"/>
    <row r="371" s="1" customFormat="1" ht="29.1" customHeight="1"/>
    <row r="372" s="1" customFormat="1" ht="29.1" customHeight="1"/>
    <row r="373" s="1" customFormat="1" ht="29.1" customHeight="1"/>
    <row r="374" s="1" customFormat="1" ht="29.1" customHeight="1"/>
    <row r="375" s="1" customFormat="1" ht="29.1" customHeight="1"/>
    <row r="376" s="1" customFormat="1" ht="29.1" customHeight="1"/>
    <row r="377" s="1" customFormat="1" ht="29.1" customHeight="1"/>
    <row r="378" s="1" customFormat="1" ht="29.1" customHeight="1"/>
    <row r="379" s="1" customFormat="1" ht="29.1" customHeight="1"/>
    <row r="380" s="1" customFormat="1" ht="29.1" customHeight="1"/>
    <row r="381" s="1" customFormat="1" ht="29.1" customHeight="1"/>
    <row r="382" s="1" customFormat="1" ht="29.1" customHeight="1"/>
    <row r="383" s="1" customFormat="1" ht="29.1" customHeight="1"/>
    <row r="384" s="1" customFormat="1" ht="29.1" customHeight="1"/>
    <row r="385" s="1" customFormat="1" ht="29.1" customHeight="1"/>
    <row r="386" s="1" customFormat="1" ht="29.1" customHeight="1"/>
    <row r="387" s="1" customFormat="1" ht="29.1" customHeight="1"/>
    <row r="388" s="1" customFormat="1" ht="29.1" customHeight="1"/>
    <row r="389" s="1" customFormat="1" ht="29.1" customHeight="1"/>
    <row r="390" s="1" customFormat="1" ht="29.1" customHeight="1"/>
    <row r="391" s="1" customFormat="1" ht="29.1" customHeight="1"/>
    <row r="392" s="1" customFormat="1" ht="29.1" customHeight="1"/>
    <row r="393" s="1" customFormat="1" ht="29.1" customHeight="1"/>
    <row r="394" s="1" customFormat="1" ht="29.1" customHeight="1"/>
    <row r="395" s="1" customFormat="1" ht="29.1" customHeight="1"/>
    <row r="396" s="1" customFormat="1" ht="29.1" customHeight="1"/>
    <row r="397" s="1" customFormat="1" ht="29.1" customHeight="1"/>
    <row r="398" s="1" customFormat="1" ht="29.1" customHeight="1"/>
    <row r="399" s="1" customFormat="1" ht="29.1" customHeight="1"/>
    <row r="400" s="1" customFormat="1" ht="29.1" customHeight="1"/>
    <row r="401" s="1" customFormat="1" ht="29.1" customHeight="1"/>
  </sheetData>
  <mergeCells count="1">
    <mergeCell ref="A6:J7"/>
  </mergeCells>
  <phoneticPr fontId="87" type="noConversion"/>
  <printOptions horizontalCentered="1"/>
  <pageMargins left="0.74777776002883911" right="0.74777776002883911" top="1.0234721899032593" bottom="0.98416668176651001" header="0" footer="0"/>
  <pageSetup paperSize="9" orientation="landscape" horizontalDpi="4294967292"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filterMode="1">
    <tabColor rgb="FFFCD5B5"/>
  </sheetPr>
  <dimension ref="A1:AS95"/>
  <sheetViews>
    <sheetView showGridLines="0" view="pageBreakPreview" zoomScaleNormal="100" zoomScaleSheetLayoutView="100" workbookViewId="0">
      <selection activeCell="V6" sqref="V6:AB7"/>
    </sheetView>
  </sheetViews>
  <sheetFormatPr defaultColWidth="8.88671875" defaultRowHeight="21.6" customHeight="1"/>
  <cols>
    <col min="1" max="1" width="1.88671875" style="3" customWidth="1"/>
    <col min="2" max="2" width="2.44140625" style="3" customWidth="1"/>
    <col min="3" max="3" width="2.44140625" style="5" customWidth="1"/>
    <col min="4" max="4" width="2.44140625" style="6" customWidth="1"/>
    <col min="5" max="5" width="2.6640625" style="4" customWidth="1"/>
    <col min="6" max="6" width="2.6640625" style="3" customWidth="1"/>
    <col min="7" max="10" width="2.44140625" style="3" customWidth="1"/>
    <col min="11" max="11" width="2.77734375" style="3" customWidth="1"/>
    <col min="12" max="12" width="3.109375" style="3" customWidth="1"/>
    <col min="13" max="16" width="2.44140625" style="3" customWidth="1"/>
    <col min="17" max="17" width="1.88671875" style="3" customWidth="1"/>
    <col min="18" max="19" width="2.44140625" style="3" customWidth="1"/>
    <col min="20" max="20" width="4.88671875" style="3" customWidth="1"/>
    <col min="21" max="21" width="1.88671875" style="3" customWidth="1"/>
    <col min="22" max="22" width="1.109375" style="3" customWidth="1"/>
    <col min="23" max="23" width="2.44140625" style="3" customWidth="1"/>
    <col min="24" max="24" width="3.44140625" style="3" customWidth="1"/>
    <col min="25" max="25" width="3.88671875" style="3" customWidth="1"/>
    <col min="26" max="27" width="2.44140625" style="3" customWidth="1"/>
    <col min="28" max="28" width="3.5546875" style="3" customWidth="1"/>
    <col min="29" max="29" width="3.88671875" style="3" customWidth="1"/>
    <col min="30" max="30" width="4.88671875" style="3" bestFit="1" customWidth="1"/>
    <col min="31" max="31" width="7.33203125" style="3" customWidth="1"/>
    <col min="32" max="32" width="2.109375" style="3" customWidth="1"/>
    <col min="33" max="33" width="6" style="3" customWidth="1"/>
    <col min="34" max="34" width="2.21875" style="3" customWidth="1"/>
    <col min="35" max="35" width="12.33203125" style="40" customWidth="1"/>
    <col min="36" max="36" width="13.6640625" style="3" customWidth="1"/>
    <col min="37" max="37" width="13.33203125" style="3" customWidth="1"/>
    <col min="38" max="38" width="8" style="3" customWidth="1"/>
    <col min="39" max="45" width="6.77734375" style="3" customWidth="1"/>
    <col min="46" max="16384" width="8.88671875" style="3"/>
  </cols>
  <sheetData>
    <row r="1" spans="1:45" ht="13.5" customHeight="1" thickBot="1">
      <c r="AH1" s="3" t="s">
        <v>925</v>
      </c>
    </row>
    <row r="2" spans="1:45" s="13" customFormat="1" ht="30" customHeight="1">
      <c r="A2" s="676" t="s">
        <v>459</v>
      </c>
      <c r="B2" s="677"/>
      <c r="C2" s="677"/>
      <c r="D2" s="677"/>
      <c r="E2" s="677"/>
      <c r="F2" s="677"/>
      <c r="G2" s="677"/>
      <c r="H2" s="677"/>
      <c r="I2" s="677"/>
      <c r="J2" s="677"/>
      <c r="K2" s="677"/>
      <c r="L2" s="677"/>
      <c r="M2" s="677"/>
      <c r="N2" s="677"/>
      <c r="O2" s="677"/>
      <c r="P2" s="677"/>
      <c r="Q2" s="677"/>
      <c r="R2" s="677"/>
      <c r="S2" s="677"/>
      <c r="T2" s="677"/>
      <c r="U2" s="677"/>
      <c r="V2" s="677"/>
      <c r="W2" s="677"/>
      <c r="X2" s="677"/>
      <c r="Y2" s="677"/>
      <c r="Z2" s="677"/>
      <c r="AA2" s="677"/>
      <c r="AB2" s="677"/>
      <c r="AC2" s="398"/>
      <c r="AD2" s="398"/>
      <c r="AE2" s="398"/>
      <c r="AF2" s="399"/>
      <c r="AH2" s="394">
        <v>0</v>
      </c>
      <c r="AI2" s="32"/>
    </row>
    <row r="3" spans="1:45" s="13" customFormat="1" ht="5.25" customHeight="1">
      <c r="A3" s="400"/>
      <c r="B3" s="401"/>
      <c r="C3" s="401"/>
      <c r="D3" s="401"/>
      <c r="E3" s="401"/>
      <c r="F3" s="401"/>
      <c r="G3" s="401"/>
      <c r="H3" s="401"/>
      <c r="I3" s="401"/>
      <c r="J3" s="402"/>
      <c r="K3" s="402"/>
      <c r="L3" s="402"/>
      <c r="M3" s="402"/>
      <c r="N3" s="402"/>
      <c r="O3" s="402"/>
      <c r="P3" s="402"/>
      <c r="Q3" s="402"/>
      <c r="R3" s="402"/>
      <c r="S3" s="402"/>
      <c r="T3" s="402"/>
      <c r="U3" s="402"/>
      <c r="V3" s="402"/>
      <c r="W3" s="402"/>
      <c r="X3" s="402"/>
      <c r="Y3" s="402"/>
      <c r="Z3" s="402"/>
      <c r="AA3" s="403"/>
      <c r="AB3" s="403"/>
      <c r="AC3" s="403"/>
      <c r="AD3" s="403"/>
      <c r="AE3" s="403"/>
      <c r="AF3" s="404"/>
      <c r="AH3" s="394">
        <v>0</v>
      </c>
      <c r="AI3" s="32"/>
    </row>
    <row r="4" spans="1:45" s="7" customFormat="1" ht="24.95" customHeight="1">
      <c r="A4" s="405"/>
      <c r="B4" s="121" t="s">
        <v>451</v>
      </c>
      <c r="C4" s="122"/>
      <c r="D4" s="123"/>
      <c r="E4" s="124"/>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406"/>
      <c r="AG4" s="387"/>
      <c r="AH4" s="394">
        <v>0</v>
      </c>
      <c r="AI4" s="33"/>
      <c r="AJ4" s="470"/>
      <c r="AK4" s="471"/>
      <c r="AL4" s="471"/>
      <c r="AM4" s="471"/>
      <c r="AN4" s="471"/>
      <c r="AP4" s="7">
        <v>0</v>
      </c>
      <c r="AQ4" s="7">
        <v>0</v>
      </c>
      <c r="AR4" s="7">
        <v>0.3</v>
      </c>
      <c r="AS4" s="28">
        <v>0.3</v>
      </c>
    </row>
    <row r="5" spans="1:45" s="28" customFormat="1" ht="18.75" customHeight="1">
      <c r="A5" s="407"/>
      <c r="B5" s="655" t="s">
        <v>52</v>
      </c>
      <c r="C5" s="656"/>
      <c r="D5" s="656"/>
      <c r="E5" s="656"/>
      <c r="F5" s="656"/>
      <c r="G5" s="656"/>
      <c r="H5" s="656"/>
      <c r="I5" s="656"/>
      <c r="J5" s="656"/>
      <c r="K5" s="656"/>
      <c r="L5" s="656" t="s">
        <v>532</v>
      </c>
      <c r="M5" s="656"/>
      <c r="N5" s="656"/>
      <c r="O5" s="408"/>
      <c r="P5" s="408" t="s">
        <v>535</v>
      </c>
      <c r="Q5" s="408"/>
      <c r="R5" s="656" t="s">
        <v>606</v>
      </c>
      <c r="S5" s="656"/>
      <c r="T5" s="656"/>
      <c r="U5" s="656"/>
      <c r="V5" s="656" t="s">
        <v>584</v>
      </c>
      <c r="W5" s="656"/>
      <c r="X5" s="656"/>
      <c r="Y5" s="656"/>
      <c r="Z5" s="656"/>
      <c r="AA5" s="656"/>
      <c r="AB5" s="656"/>
      <c r="AC5" s="657" t="s">
        <v>612</v>
      </c>
      <c r="AD5" s="657"/>
      <c r="AE5" s="658"/>
      <c r="AF5" s="409"/>
      <c r="AG5" s="388"/>
      <c r="AH5" s="394">
        <v>0</v>
      </c>
      <c r="AI5" s="34"/>
      <c r="AJ5" s="471"/>
      <c r="AK5" s="471"/>
      <c r="AL5" s="471"/>
      <c r="AM5" s="471"/>
      <c r="AN5" s="471"/>
      <c r="AP5" s="237" t="s">
        <v>591</v>
      </c>
      <c r="AQ5" s="28">
        <v>0.3</v>
      </c>
      <c r="AR5" s="28">
        <v>0.3</v>
      </c>
      <c r="AS5" s="28">
        <v>0.5</v>
      </c>
    </row>
    <row r="6" spans="1:45" s="28" customFormat="1" ht="18.75" customHeight="1">
      <c r="A6" s="407"/>
      <c r="B6" s="678" t="str">
        <f>표지!A5</f>
        <v>ㅇㅇㅇㅇㅇㅇㅇㅇㅇ</v>
      </c>
      <c r="C6" s="679"/>
      <c r="D6" s="679"/>
      <c r="E6" s="679"/>
      <c r="F6" s="679"/>
      <c r="G6" s="679"/>
      <c r="H6" s="679"/>
      <c r="I6" s="679"/>
      <c r="J6" s="679"/>
      <c r="K6" s="680"/>
      <c r="L6" s="684">
        <v>1</v>
      </c>
      <c r="M6" s="685"/>
      <c r="N6" s="686"/>
      <c r="O6" s="690" t="s">
        <v>527</v>
      </c>
      <c r="P6" s="691"/>
      <c r="Q6" s="692"/>
      <c r="R6" s="659" t="str">
        <f>'용역 설명서'!C14</f>
        <v>ㅇㅇㅇㅇㅇㅇㅇㅇㅇ</v>
      </c>
      <c r="S6" s="660"/>
      <c r="T6" s="660"/>
      <c r="U6" s="661"/>
      <c r="V6" s="665">
        <f>data!B13</f>
        <v>55000000</v>
      </c>
      <c r="W6" s="666"/>
      <c r="X6" s="666"/>
      <c r="Y6" s="666"/>
      <c r="Z6" s="666"/>
      <c r="AA6" s="666"/>
      <c r="AB6" s="667"/>
      <c r="AC6" s="627" t="s">
        <v>932</v>
      </c>
      <c r="AD6" s="628"/>
      <c r="AE6" s="629"/>
      <c r="AF6" s="410"/>
      <c r="AG6" s="389"/>
      <c r="AH6" s="394">
        <v>0</v>
      </c>
      <c r="AI6" s="346" t="s">
        <v>867</v>
      </c>
      <c r="AJ6" s="471"/>
      <c r="AK6" s="471"/>
      <c r="AL6" s="471"/>
      <c r="AM6" s="471"/>
      <c r="AN6" s="471"/>
      <c r="AP6" s="237" t="s">
        <v>604</v>
      </c>
      <c r="AQ6" s="28">
        <v>0.5</v>
      </c>
      <c r="AR6" s="28">
        <v>0.5</v>
      </c>
      <c r="AS6" s="28">
        <v>1</v>
      </c>
    </row>
    <row r="7" spans="1:45" s="28" customFormat="1" ht="18.75" customHeight="1">
      <c r="A7" s="407"/>
      <c r="B7" s="681"/>
      <c r="C7" s="682"/>
      <c r="D7" s="682"/>
      <c r="E7" s="682"/>
      <c r="F7" s="682"/>
      <c r="G7" s="682"/>
      <c r="H7" s="682"/>
      <c r="I7" s="682"/>
      <c r="J7" s="682"/>
      <c r="K7" s="683"/>
      <c r="L7" s="687"/>
      <c r="M7" s="688"/>
      <c r="N7" s="689"/>
      <c r="O7" s="693"/>
      <c r="P7" s="694"/>
      <c r="Q7" s="695"/>
      <c r="R7" s="662"/>
      <c r="S7" s="663"/>
      <c r="T7" s="663"/>
      <c r="U7" s="664"/>
      <c r="V7" s="668"/>
      <c r="W7" s="669"/>
      <c r="X7" s="669"/>
      <c r="Y7" s="669"/>
      <c r="Z7" s="669"/>
      <c r="AA7" s="669"/>
      <c r="AB7" s="670"/>
      <c r="AC7" s="630"/>
      <c r="AD7" s="631"/>
      <c r="AE7" s="632"/>
      <c r="AF7" s="410"/>
      <c r="AG7" s="389"/>
      <c r="AH7" s="394">
        <v>0</v>
      </c>
      <c r="AI7" s="35"/>
      <c r="AJ7" s="471"/>
      <c r="AK7" s="471"/>
      <c r="AL7" s="471"/>
      <c r="AM7" s="471"/>
      <c r="AN7" s="471"/>
      <c r="AP7" s="237" t="s">
        <v>144</v>
      </c>
      <c r="AQ7" s="28">
        <v>1</v>
      </c>
      <c r="AR7" s="28">
        <v>1</v>
      </c>
      <c r="AS7" s="28">
        <v>2</v>
      </c>
    </row>
    <row r="8" spans="1:45" s="28" customFormat="1" ht="18.75" customHeight="1">
      <c r="A8" s="407"/>
      <c r="B8" s="671" t="s">
        <v>605</v>
      </c>
      <c r="C8" s="672"/>
      <c r="D8" s="672"/>
      <c r="E8" s="672"/>
      <c r="F8" s="672"/>
      <c r="G8" s="672"/>
      <c r="H8" s="672"/>
      <c r="I8" s="672"/>
      <c r="J8" s="672"/>
      <c r="K8" s="672"/>
      <c r="L8" s="673"/>
      <c r="M8" s="673"/>
      <c r="N8" s="673"/>
      <c r="O8" s="674"/>
      <c r="P8" s="674"/>
      <c r="Q8" s="674"/>
      <c r="R8" s="673"/>
      <c r="S8" s="673"/>
      <c r="T8" s="673"/>
      <c r="U8" s="673"/>
      <c r="V8" s="675">
        <f>SUM(V6:AB7)</f>
        <v>55000000</v>
      </c>
      <c r="W8" s="675"/>
      <c r="X8" s="675"/>
      <c r="Y8" s="675"/>
      <c r="Z8" s="675"/>
      <c r="AA8" s="675"/>
      <c r="AB8" s="675"/>
      <c r="AC8" s="653" t="s">
        <v>575</v>
      </c>
      <c r="AD8" s="653"/>
      <c r="AE8" s="654"/>
      <c r="AF8" s="410"/>
      <c r="AG8" s="389"/>
      <c r="AH8" s="394">
        <v>0</v>
      </c>
      <c r="AI8" s="35"/>
      <c r="AJ8" s="471"/>
      <c r="AK8" s="471"/>
      <c r="AL8" s="471"/>
      <c r="AM8" s="471"/>
      <c r="AN8" s="471"/>
      <c r="AP8" s="237" t="s">
        <v>168</v>
      </c>
      <c r="AQ8" s="28">
        <v>2</v>
      </c>
      <c r="AR8" s="28">
        <v>2</v>
      </c>
      <c r="AS8" s="28">
        <v>3</v>
      </c>
    </row>
    <row r="9" spans="1:45" s="28" customFormat="1" ht="18.75" customHeight="1">
      <c r="A9" s="407"/>
      <c r="B9" s="671" t="s">
        <v>582</v>
      </c>
      <c r="C9" s="672"/>
      <c r="D9" s="672"/>
      <c r="E9" s="672"/>
      <c r="F9" s="672"/>
      <c r="G9" s="672"/>
      <c r="H9" s="672"/>
      <c r="I9" s="672"/>
      <c r="J9" s="672"/>
      <c r="K9" s="672"/>
      <c r="L9" s="673"/>
      <c r="M9" s="673"/>
      <c r="N9" s="673"/>
      <c r="O9" s="674"/>
      <c r="P9" s="674"/>
      <c r="Q9" s="674"/>
      <c r="R9" s="673"/>
      <c r="S9" s="673"/>
      <c r="T9" s="673"/>
      <c r="U9" s="673"/>
      <c r="V9" s="675">
        <f>ROUNDDOWN(V8/1.1,0)</f>
        <v>50000000</v>
      </c>
      <c r="W9" s="675"/>
      <c r="X9" s="675"/>
      <c r="Y9" s="675"/>
      <c r="Z9" s="675"/>
      <c r="AA9" s="675"/>
      <c r="AB9" s="675"/>
      <c r="AC9" s="653" t="s">
        <v>576</v>
      </c>
      <c r="AD9" s="653"/>
      <c r="AE9" s="654"/>
      <c r="AF9" s="410"/>
      <c r="AG9" s="389"/>
      <c r="AH9" s="394">
        <v>0</v>
      </c>
      <c r="AI9" s="51"/>
      <c r="AJ9" s="471"/>
      <c r="AK9" s="471"/>
      <c r="AL9" s="471"/>
      <c r="AM9" s="471"/>
      <c r="AN9" s="471"/>
      <c r="AP9" s="237" t="s">
        <v>145</v>
      </c>
      <c r="AQ9" s="28">
        <v>3</v>
      </c>
      <c r="AR9" s="28">
        <v>3</v>
      </c>
      <c r="AS9" s="28">
        <v>5</v>
      </c>
    </row>
    <row r="10" spans="1:45" s="28" customFormat="1" ht="15" customHeight="1">
      <c r="A10" s="407"/>
      <c r="B10" s="411"/>
      <c r="C10" s="412"/>
      <c r="D10" s="412"/>
      <c r="E10" s="390"/>
      <c r="F10" s="390"/>
      <c r="G10" s="390"/>
      <c r="H10" s="412"/>
      <c r="I10" s="412"/>
      <c r="J10" s="412"/>
      <c r="K10" s="412"/>
      <c r="L10" s="413"/>
      <c r="M10" s="412"/>
      <c r="N10" s="412"/>
      <c r="O10" s="412"/>
      <c r="P10" s="412"/>
      <c r="Q10" s="412"/>
      <c r="R10" s="412"/>
      <c r="S10" s="412"/>
      <c r="T10" s="412"/>
      <c r="U10" s="649"/>
      <c r="V10" s="649"/>
      <c r="W10" s="649"/>
      <c r="X10" s="649"/>
      <c r="Y10" s="649"/>
      <c r="Z10" s="649"/>
      <c r="AA10" s="649"/>
      <c r="AB10" s="649"/>
      <c r="AC10" s="649"/>
      <c r="AD10" s="649"/>
      <c r="AE10" s="649"/>
      <c r="AF10" s="414"/>
      <c r="AG10" s="390"/>
      <c r="AH10" s="394">
        <v>0</v>
      </c>
      <c r="AI10" s="51"/>
      <c r="AJ10" s="471"/>
      <c r="AK10" s="471"/>
      <c r="AL10" s="471"/>
      <c r="AM10" s="471"/>
      <c r="AN10" s="471"/>
      <c r="AP10" s="237" t="s">
        <v>153</v>
      </c>
      <c r="AQ10" s="28">
        <v>5</v>
      </c>
      <c r="AR10" s="28">
        <v>5</v>
      </c>
      <c r="AS10" s="26">
        <v>10</v>
      </c>
    </row>
    <row r="11" spans="1:45" s="26" customFormat="1" ht="24.75" customHeight="1">
      <c r="A11" s="415"/>
      <c r="B11" s="387" t="s">
        <v>106</v>
      </c>
      <c r="C11" s="387"/>
      <c r="D11" s="387"/>
      <c r="E11" s="387"/>
      <c r="F11" s="416"/>
      <c r="G11" s="416"/>
      <c r="H11" s="417"/>
      <c r="I11" s="387"/>
      <c r="J11" s="418"/>
      <c r="K11" s="418"/>
      <c r="L11" s="418"/>
      <c r="M11" s="418"/>
      <c r="N11" s="418"/>
      <c r="O11" s="418"/>
      <c r="P11" s="419"/>
      <c r="Q11" s="420"/>
      <c r="R11" s="420"/>
      <c r="S11" s="420"/>
      <c r="T11" s="420"/>
      <c r="U11" s="418"/>
      <c r="V11" s="418"/>
      <c r="W11" s="418"/>
      <c r="X11" s="418"/>
      <c r="Y11" s="418"/>
      <c r="Z11" s="418"/>
      <c r="AA11" s="418"/>
      <c r="AB11" s="418"/>
      <c r="AC11" s="387"/>
      <c r="AD11" s="387"/>
      <c r="AE11" s="387"/>
      <c r="AF11" s="421"/>
      <c r="AG11" s="387"/>
      <c r="AH11" s="394">
        <v>0</v>
      </c>
      <c r="AI11" s="347">
        <f>ROUNDDOWN(V9*0.00000001,1)</f>
        <v>0.5</v>
      </c>
      <c r="AJ11" s="471"/>
      <c r="AK11" s="471"/>
      <c r="AL11" s="471"/>
      <c r="AM11" s="471"/>
      <c r="AN11" s="471"/>
      <c r="AP11" s="237" t="s">
        <v>614</v>
      </c>
      <c r="AQ11" s="26">
        <v>10</v>
      </c>
      <c r="AR11" s="26">
        <v>10</v>
      </c>
      <c r="AS11" s="9">
        <v>20</v>
      </c>
    </row>
    <row r="12" spans="1:45" s="9" customFormat="1" ht="18.75" customHeight="1">
      <c r="A12" s="422"/>
      <c r="B12" s="391" t="s">
        <v>254</v>
      </c>
      <c r="C12" s="391"/>
      <c r="D12" s="391"/>
      <c r="E12" s="391"/>
      <c r="F12" s="423"/>
      <c r="G12" s="423"/>
      <c r="H12" s="392"/>
      <c r="I12" s="391"/>
      <c r="J12" s="424"/>
      <c r="K12" s="424"/>
      <c r="L12" s="424"/>
      <c r="M12" s="424"/>
      <c r="N12" s="424"/>
      <c r="O12" s="424"/>
      <c r="P12" s="425"/>
      <c r="Q12" s="426"/>
      <c r="R12" s="426"/>
      <c r="S12" s="426"/>
      <c r="T12" s="426"/>
      <c r="U12" s="424"/>
      <c r="V12" s="424"/>
      <c r="W12" s="424"/>
      <c r="X12" s="424"/>
      <c r="Y12" s="424"/>
      <c r="Z12" s="424"/>
      <c r="AA12" s="424"/>
      <c r="AB12" s="424"/>
      <c r="AC12" s="391"/>
      <c r="AD12" s="391"/>
      <c r="AE12" s="391"/>
      <c r="AF12" s="427"/>
      <c r="AG12" s="391"/>
      <c r="AH12" s="394">
        <v>0</v>
      </c>
      <c r="AI12" s="37"/>
      <c r="AK12" s="12"/>
      <c r="AP12" s="237" t="s">
        <v>594</v>
      </c>
      <c r="AQ12" s="9">
        <v>20</v>
      </c>
      <c r="AR12" s="9">
        <v>20</v>
      </c>
      <c r="AS12" s="9">
        <v>30</v>
      </c>
    </row>
    <row r="13" spans="1:45" s="9" customFormat="1" ht="18.75" customHeight="1" thickBot="1">
      <c r="A13" s="422"/>
      <c r="B13" s="391" t="s">
        <v>39</v>
      </c>
      <c r="C13" s="391"/>
      <c r="D13" s="391"/>
      <c r="E13" s="391"/>
      <c r="F13" s="423"/>
      <c r="G13" s="423"/>
      <c r="H13" s="392"/>
      <c r="I13" s="647" t="str">
        <f>VLOOKUP("설계난이도",data!$A$1:$B$270,2,0)</f>
        <v>복잡</v>
      </c>
      <c r="J13" s="647"/>
      <c r="K13" s="423" t="s">
        <v>476</v>
      </c>
      <c r="L13" s="424"/>
      <c r="M13" s="424"/>
      <c r="N13" s="424"/>
      <c r="O13" s="424"/>
      <c r="P13" s="425"/>
      <c r="Q13" s="426"/>
      <c r="R13" s="426"/>
      <c r="S13" s="426"/>
      <c r="T13" s="426"/>
      <c r="U13" s="424"/>
      <c r="V13" s="424"/>
      <c r="W13" s="424"/>
      <c r="X13" s="424"/>
      <c r="Y13" s="424"/>
      <c r="Z13" s="424"/>
      <c r="AA13" s="424"/>
      <c r="AB13" s="424"/>
      <c r="AC13" s="391"/>
      <c r="AD13" s="391"/>
      <c r="AE13" s="391"/>
      <c r="AF13" s="427"/>
      <c r="AG13" s="391"/>
      <c r="AH13" s="394">
        <v>0</v>
      </c>
      <c r="AI13" s="37"/>
      <c r="AK13" s="12"/>
      <c r="AP13" s="237" t="s">
        <v>644</v>
      </c>
      <c r="AQ13" s="9">
        <v>30</v>
      </c>
      <c r="AR13" s="9">
        <v>30</v>
      </c>
      <c r="AS13" s="9">
        <v>100</v>
      </c>
    </row>
    <row r="14" spans="1:45" s="9" customFormat="1" ht="18.75" hidden="1" customHeight="1" thickBot="1">
      <c r="A14" s="422"/>
      <c r="B14" s="391"/>
      <c r="C14" s="391"/>
      <c r="D14" s="391"/>
      <c r="E14" s="391"/>
      <c r="F14" s="423"/>
      <c r="G14" s="391"/>
      <c r="H14" s="391"/>
      <c r="I14" s="392"/>
      <c r="J14" s="391"/>
      <c r="K14" s="424"/>
      <c r="L14" s="391"/>
      <c r="M14" s="391"/>
      <c r="N14" s="391"/>
      <c r="O14" s="424"/>
      <c r="P14" s="424"/>
      <c r="Q14" s="391"/>
      <c r="R14" s="445"/>
      <c r="S14" s="445"/>
      <c r="T14" s="426"/>
      <c r="U14" s="426"/>
      <c r="V14" s="424"/>
      <c r="W14" s="652"/>
      <c r="X14" s="652"/>
      <c r="Y14" s="423"/>
      <c r="Z14" s="392"/>
      <c r="AA14" s="391"/>
      <c r="AB14" s="391"/>
      <c r="AC14" s="391"/>
      <c r="AD14" s="391"/>
      <c r="AE14" s="391"/>
      <c r="AF14" s="427"/>
      <c r="AG14" s="391"/>
      <c r="AH14" s="394">
        <v>1</v>
      </c>
      <c r="AI14" s="37"/>
      <c r="AP14" s="237" t="s">
        <v>634</v>
      </c>
      <c r="AR14" s="9">
        <v>100</v>
      </c>
    </row>
    <row r="15" spans="1:45" s="9" customFormat="1" ht="18.75" customHeight="1">
      <c r="A15" s="422"/>
      <c r="B15" s="391" t="s">
        <v>450</v>
      </c>
      <c r="C15" s="391"/>
      <c r="D15" s="391"/>
      <c r="E15" s="391"/>
      <c r="F15" s="647">
        <f>LOOKUP(ROUNDDOWN($V$9*0.00000001,1),$AQ$4:$AQ$16,$AR$4:$AR$16)</f>
        <v>0.5</v>
      </c>
      <c r="G15" s="647"/>
      <c r="H15" s="391" t="s">
        <v>458</v>
      </c>
      <c r="I15" s="391"/>
      <c r="J15" s="392"/>
      <c r="K15" s="392"/>
      <c r="L15" s="650">
        <f>VLOOKUP(AJ15,'기초1(요율적용기준) '!$M$5:$N$41,2,0)</f>
        <v>17.09</v>
      </c>
      <c r="M15" s="650"/>
      <c r="N15" s="424" t="s">
        <v>534</v>
      </c>
      <c r="O15" s="424"/>
      <c r="P15" s="651" t="s">
        <v>49</v>
      </c>
      <c r="Q15" s="651"/>
      <c r="R15" s="651"/>
      <c r="S15" s="651"/>
      <c r="T15" s="651"/>
      <c r="U15" s="651"/>
      <c r="V15" s="651"/>
      <c r="W15" s="651"/>
      <c r="X15" s="651"/>
      <c r="Y15" s="392"/>
      <c r="Z15" s="392"/>
      <c r="AA15" s="392"/>
      <c r="AB15" s="392"/>
      <c r="AC15" s="392"/>
      <c r="AD15" s="392"/>
      <c r="AE15" s="392"/>
      <c r="AF15" s="436"/>
      <c r="AG15" s="392"/>
      <c r="AH15" s="394">
        <v>0</v>
      </c>
      <c r="AI15" s="38">
        <f>IF(V9*0.00000001&gt;100,200,IF(V9*0.00000001&gt;50,100,IF(V9*0.00000001&gt;30,50,IF(V9*0.00000001&gt;20,30,IF(V9*0.00000001&gt;10,20,IF(V9*0.00000001&gt;5,10,IF(V9*0.00000001&gt;3,5,IF(V9*0.00000001&gt;2,3,IF(V9*0.00000001&gt;1,2,IF(V9*0.00000001&gt;0.5,1,IF(V9*0.00000001&gt;0.3,0.5,IF(ROUNDDOWN(V9*0.00000001,-1)=0,0.3,ROUNDDOWN(V9*0.00000001,0)))))))))))))</f>
        <v>0.5</v>
      </c>
      <c r="AJ15" s="247" t="str">
        <f>F15&amp;" "&amp;$I$13</f>
        <v>0.5 복잡</v>
      </c>
      <c r="AK15" s="9" t="s">
        <v>473</v>
      </c>
      <c r="AP15" s="237" t="s">
        <v>625</v>
      </c>
      <c r="AQ15" s="9">
        <v>100</v>
      </c>
      <c r="AR15" s="9">
        <v>100</v>
      </c>
      <c r="AS15" s="9">
        <v>200</v>
      </c>
    </row>
    <row r="16" spans="1:45" s="9" customFormat="1" ht="18.75" customHeight="1" thickBot="1">
      <c r="A16" s="422"/>
      <c r="B16" s="391" t="s">
        <v>450</v>
      </c>
      <c r="C16" s="391"/>
      <c r="D16" s="391"/>
      <c r="E16" s="423"/>
      <c r="F16" s="647">
        <f>IF(AND(F15*100000000=V9),F15,LOOKUP(ROUNDDOWN($V$9*0.00000001,1),$AQ$4:$AQ$16,$AS$4:$AS$16))</f>
        <v>0.5</v>
      </c>
      <c r="G16" s="647"/>
      <c r="H16" s="391" t="s">
        <v>458</v>
      </c>
      <c r="I16" s="391"/>
      <c r="J16" s="391"/>
      <c r="K16" s="391"/>
      <c r="L16" s="650">
        <f>VLOOKUP(AJ16,'기초1(요율적용기준) '!$M$5:$N$41,2,0)</f>
        <v>17.09</v>
      </c>
      <c r="M16" s="650"/>
      <c r="N16" s="424" t="s">
        <v>534</v>
      </c>
      <c r="O16" s="424"/>
      <c r="P16" s="651" t="s">
        <v>49</v>
      </c>
      <c r="Q16" s="651"/>
      <c r="R16" s="651"/>
      <c r="S16" s="651"/>
      <c r="T16" s="651"/>
      <c r="U16" s="651"/>
      <c r="V16" s="651"/>
      <c r="W16" s="651"/>
      <c r="X16" s="651"/>
      <c r="Y16" s="391"/>
      <c r="Z16" s="391"/>
      <c r="AA16" s="391"/>
      <c r="AB16" s="391"/>
      <c r="AC16" s="391"/>
      <c r="AD16" s="391"/>
      <c r="AE16" s="391"/>
      <c r="AF16" s="427"/>
      <c r="AG16" s="391"/>
      <c r="AH16" s="395">
        <f>IF(AND(F15=F16,F16=0.3),1,0)</f>
        <v>0</v>
      </c>
      <c r="AI16" s="37"/>
      <c r="AJ16" s="248" t="str">
        <f>F16&amp;" "&amp;$I$13</f>
        <v>0.5 복잡</v>
      </c>
      <c r="AP16" s="237" t="s">
        <v>595</v>
      </c>
      <c r="AQ16" s="9">
        <v>200</v>
      </c>
      <c r="AR16" s="9">
        <v>200</v>
      </c>
      <c r="AS16" s="9">
        <v>200</v>
      </c>
    </row>
    <row r="17" spans="1:37" s="9" customFormat="1" ht="18.75" customHeight="1">
      <c r="A17" s="422"/>
      <c r="B17" s="391" t="s">
        <v>44</v>
      </c>
      <c r="C17" s="434"/>
      <c r="D17" s="435"/>
      <c r="E17" s="391"/>
      <c r="F17" s="391"/>
      <c r="G17" s="391"/>
      <c r="H17" s="638">
        <f>V9</f>
        <v>50000000</v>
      </c>
      <c r="I17" s="638"/>
      <c r="J17" s="638"/>
      <c r="K17" s="638"/>
      <c r="L17" s="638"/>
      <c r="M17" s="391" t="s">
        <v>472</v>
      </c>
      <c r="N17" s="392"/>
      <c r="O17" s="392"/>
      <c r="P17" s="392"/>
      <c r="Q17" s="392"/>
      <c r="R17" s="392"/>
      <c r="S17" s="392"/>
      <c r="T17" s="392"/>
      <c r="U17" s="392"/>
      <c r="V17" s="392"/>
      <c r="W17" s="392"/>
      <c r="X17" s="392"/>
      <c r="Y17" s="392"/>
      <c r="Z17" s="392"/>
      <c r="AA17" s="392"/>
      <c r="AB17" s="392"/>
      <c r="AC17" s="392"/>
      <c r="AD17" s="392"/>
      <c r="AE17" s="392"/>
      <c r="AF17" s="436"/>
      <c r="AG17" s="392"/>
      <c r="AH17" s="396">
        <v>0</v>
      </c>
      <c r="AI17" s="38"/>
      <c r="AJ17" s="9">
        <v>1</v>
      </c>
    </row>
    <row r="18" spans="1:37" s="9" customFormat="1" ht="18.75" customHeight="1">
      <c r="A18" s="422"/>
      <c r="B18" s="391" t="s">
        <v>559</v>
      </c>
      <c r="C18" s="391"/>
      <c r="D18" s="391"/>
      <c r="E18" s="391"/>
      <c r="F18" s="423"/>
      <c r="G18" s="423"/>
      <c r="H18" s="392"/>
      <c r="I18" s="391"/>
      <c r="J18" s="392"/>
      <c r="K18" s="392"/>
      <c r="L18" s="392"/>
      <c r="M18" s="392"/>
      <c r="N18" s="392"/>
      <c r="O18" s="392"/>
      <c r="P18" s="392"/>
      <c r="Q18" s="392"/>
      <c r="R18" s="392"/>
      <c r="S18" s="392"/>
      <c r="T18" s="392"/>
      <c r="U18" s="392"/>
      <c r="V18" s="392"/>
      <c r="W18" s="392"/>
      <c r="X18" s="392"/>
      <c r="Y18" s="392"/>
      <c r="Z18" s="392"/>
      <c r="AA18" s="392"/>
      <c r="AB18" s="392"/>
      <c r="AC18" s="392"/>
      <c r="AD18" s="392"/>
      <c r="AE18" s="392"/>
      <c r="AF18" s="436"/>
      <c r="AG18" s="392"/>
      <c r="AH18" s="396">
        <v>0</v>
      </c>
      <c r="AI18" s="38"/>
    </row>
    <row r="19" spans="1:37" s="9" customFormat="1" ht="15" customHeight="1">
      <c r="A19" s="422"/>
      <c r="B19" s="391"/>
      <c r="C19" s="437"/>
      <c r="D19" s="645" t="s">
        <v>531</v>
      </c>
      <c r="E19" s="648">
        <f>L15</f>
        <v>17.09</v>
      </c>
      <c r="F19" s="648"/>
      <c r="G19" s="438"/>
      <c r="H19" s="646" t="s">
        <v>521</v>
      </c>
      <c r="I19" s="156" t="s">
        <v>530</v>
      </c>
      <c r="J19" s="643">
        <f>H17</f>
        <v>50000000</v>
      </c>
      <c r="K19" s="643"/>
      <c r="L19" s="643"/>
      <c r="M19" s="643"/>
      <c r="N19" s="643"/>
      <c r="O19" s="157" t="s">
        <v>521</v>
      </c>
      <c r="P19" s="642">
        <f>F15*100000000</f>
        <v>50000000</v>
      </c>
      <c r="Q19" s="642"/>
      <c r="R19" s="642"/>
      <c r="S19" s="642"/>
      <c r="T19" s="642"/>
      <c r="U19" s="158" t="s">
        <v>514</v>
      </c>
      <c r="V19" s="158" t="s">
        <v>543</v>
      </c>
      <c r="W19" s="158" t="s">
        <v>530</v>
      </c>
      <c r="X19" s="636">
        <f>L15</f>
        <v>17.09</v>
      </c>
      <c r="Y19" s="636"/>
      <c r="Z19" s="157" t="s">
        <v>521</v>
      </c>
      <c r="AA19" s="159"/>
      <c r="AB19" s="636">
        <f>L16</f>
        <v>17.09</v>
      </c>
      <c r="AC19" s="637"/>
      <c r="AD19" s="158" t="s">
        <v>514</v>
      </c>
      <c r="AE19" s="391"/>
      <c r="AF19" s="427"/>
      <c r="AG19" s="391"/>
      <c r="AH19" s="396">
        <v>0</v>
      </c>
      <c r="AI19" s="37"/>
    </row>
    <row r="20" spans="1:37" s="9" customFormat="1" ht="15" customHeight="1">
      <c r="A20" s="422"/>
      <c r="B20" s="391"/>
      <c r="C20" s="437"/>
      <c r="D20" s="646"/>
      <c r="E20" s="648"/>
      <c r="F20" s="648"/>
      <c r="G20" s="438"/>
      <c r="H20" s="646"/>
      <c r="I20" s="391"/>
      <c r="J20" s="391"/>
      <c r="K20" s="391"/>
      <c r="L20" s="391"/>
      <c r="M20" s="424" t="s">
        <v>530</v>
      </c>
      <c r="N20" s="638">
        <f>F16*100000000</f>
        <v>50000000</v>
      </c>
      <c r="O20" s="638"/>
      <c r="P20" s="638"/>
      <c r="Q20" s="638"/>
      <c r="R20" s="638"/>
      <c r="S20" s="638"/>
      <c r="T20" s="439" t="s">
        <v>521</v>
      </c>
      <c r="U20" s="638">
        <f>F15*100000000</f>
        <v>50000000</v>
      </c>
      <c r="V20" s="638"/>
      <c r="W20" s="638"/>
      <c r="X20" s="638"/>
      <c r="Y20" s="638"/>
      <c r="Z20" s="424" t="s">
        <v>514</v>
      </c>
      <c r="AA20" s="391"/>
      <c r="AB20" s="391"/>
      <c r="AC20" s="391"/>
      <c r="AD20" s="391"/>
      <c r="AE20" s="391"/>
      <c r="AF20" s="427"/>
      <c r="AG20" s="391"/>
      <c r="AH20" s="396">
        <v>0</v>
      </c>
      <c r="AI20" s="37"/>
    </row>
    <row r="21" spans="1:37" s="9" customFormat="1" ht="15" customHeight="1">
      <c r="A21" s="422"/>
      <c r="B21" s="391"/>
      <c r="C21" s="437"/>
      <c r="D21" s="439"/>
      <c r="E21" s="393" t="s">
        <v>536</v>
      </c>
      <c r="F21" s="640">
        <f>IFERROR(ROUND(E19-((J19-P19)*(X19-AB19))/(N20-U20),3), E19)</f>
        <v>17.09</v>
      </c>
      <c r="G21" s="640"/>
      <c r="H21" s="640"/>
      <c r="I21" s="640"/>
      <c r="J21" s="391"/>
      <c r="K21" s="391"/>
      <c r="L21" s="391"/>
      <c r="M21" s="424"/>
      <c r="N21" s="440"/>
      <c r="O21" s="440"/>
      <c r="P21" s="440"/>
      <c r="Q21" s="440"/>
      <c r="R21" s="440"/>
      <c r="S21" s="440"/>
      <c r="T21" s="439"/>
      <c r="U21" s="440"/>
      <c r="V21" s="440"/>
      <c r="W21" s="440"/>
      <c r="X21" s="440"/>
      <c r="Y21" s="440"/>
      <c r="Z21" s="424"/>
      <c r="AA21" s="391"/>
      <c r="AB21" s="391"/>
      <c r="AC21" s="391"/>
      <c r="AD21" s="391"/>
      <c r="AE21" s="393"/>
      <c r="AF21" s="441"/>
      <c r="AG21" s="393"/>
      <c r="AH21" s="396">
        <v>0</v>
      </c>
      <c r="AI21" s="35"/>
    </row>
    <row r="22" spans="1:37" s="9" customFormat="1" ht="7.5" customHeight="1">
      <c r="A22" s="422"/>
      <c r="B22" s="391"/>
      <c r="C22" s="437"/>
      <c r="D22" s="439"/>
      <c r="E22" s="393"/>
      <c r="F22" s="393"/>
      <c r="G22" s="393"/>
      <c r="H22" s="393"/>
      <c r="I22" s="393"/>
      <c r="J22" s="393"/>
      <c r="K22" s="391"/>
      <c r="L22" s="391"/>
      <c r="M22" s="424"/>
      <c r="N22" s="440"/>
      <c r="O22" s="440"/>
      <c r="P22" s="440"/>
      <c r="Q22" s="440"/>
      <c r="R22" s="440"/>
      <c r="S22" s="440"/>
      <c r="T22" s="439"/>
      <c r="U22" s="440"/>
      <c r="V22" s="440"/>
      <c r="W22" s="440"/>
      <c r="X22" s="440"/>
      <c r="Y22" s="440"/>
      <c r="Z22" s="424"/>
      <c r="AA22" s="391"/>
      <c r="AB22" s="391"/>
      <c r="AC22" s="391"/>
      <c r="AD22" s="391"/>
      <c r="AE22" s="393"/>
      <c r="AF22" s="441"/>
      <c r="AG22" s="393"/>
      <c r="AH22" s="396">
        <v>0</v>
      </c>
      <c r="AI22" s="35"/>
    </row>
    <row r="23" spans="1:37" s="9" customFormat="1" ht="24.95" customHeight="1">
      <c r="A23" s="422"/>
      <c r="B23" s="391" t="s">
        <v>40</v>
      </c>
      <c r="C23" s="391"/>
      <c r="D23" s="391"/>
      <c r="E23" s="423"/>
      <c r="F23" s="391"/>
      <c r="G23" s="391"/>
      <c r="H23" s="391"/>
      <c r="I23" s="391"/>
      <c r="J23" s="391"/>
      <c r="K23" s="391"/>
      <c r="L23" s="391"/>
      <c r="M23" s="391"/>
      <c r="N23" s="391"/>
      <c r="O23" s="391"/>
      <c r="P23" s="391"/>
      <c r="Q23" s="391"/>
      <c r="R23" s="391"/>
      <c r="S23" s="391"/>
      <c r="T23" s="391"/>
      <c r="U23" s="391"/>
      <c r="V23" s="391"/>
      <c r="W23" s="391"/>
      <c r="X23" s="391"/>
      <c r="Y23" s="391"/>
      <c r="Z23" s="391"/>
      <c r="AA23" s="391"/>
      <c r="AB23" s="391"/>
      <c r="AC23" s="391"/>
      <c r="AD23" s="391"/>
      <c r="AE23" s="391"/>
      <c r="AF23" s="427"/>
      <c r="AG23" s="391"/>
      <c r="AH23" s="396">
        <v>0</v>
      </c>
      <c r="AI23" s="37"/>
    </row>
    <row r="24" spans="1:37" s="9" customFormat="1" ht="24.95" customHeight="1">
      <c r="A24" s="422"/>
      <c r="B24" s="424"/>
      <c r="C24" s="644">
        <f>V9</f>
        <v>50000000</v>
      </c>
      <c r="D24" s="644"/>
      <c r="E24" s="644"/>
      <c r="F24" s="644"/>
      <c r="G24" s="644"/>
      <c r="H24" s="644"/>
      <c r="I24" s="644"/>
      <c r="J24" s="644"/>
      <c r="K24" s="424" t="s">
        <v>543</v>
      </c>
      <c r="L24" s="645"/>
      <c r="M24" s="645"/>
      <c r="N24" s="424"/>
      <c r="O24" s="640">
        <f>F21</f>
        <v>17.09</v>
      </c>
      <c r="P24" s="640"/>
      <c r="Q24" s="640"/>
      <c r="R24" s="425" t="s">
        <v>534</v>
      </c>
      <c r="S24" s="424" t="s">
        <v>543</v>
      </c>
      <c r="T24" s="641">
        <f>AJ17</f>
        <v>1</v>
      </c>
      <c r="U24" s="641"/>
      <c r="V24" s="425" t="s">
        <v>536</v>
      </c>
      <c r="W24" s="639">
        <f>ROUNDDOWN(C24*O24%*T24,0)</f>
        <v>8545000</v>
      </c>
      <c r="X24" s="639"/>
      <c r="Y24" s="639"/>
      <c r="Z24" s="639"/>
      <c r="AA24" s="423" t="s">
        <v>537</v>
      </c>
      <c r="AB24" s="425"/>
      <c r="AC24" s="423"/>
      <c r="AD24" s="423"/>
      <c r="AE24" s="391"/>
      <c r="AF24" s="427"/>
      <c r="AG24" s="391"/>
      <c r="AH24" s="396">
        <v>0</v>
      </c>
      <c r="AI24" s="37"/>
    </row>
    <row r="25" spans="1:37" s="9" customFormat="1" ht="24.95" customHeight="1">
      <c r="A25" s="422"/>
      <c r="B25" s="424"/>
      <c r="C25" s="425"/>
      <c r="D25" s="425"/>
      <c r="E25" s="425"/>
      <c r="F25" s="425"/>
      <c r="G25" s="425"/>
      <c r="H25" s="425"/>
      <c r="I25" s="425"/>
      <c r="J25" s="425"/>
      <c r="K25" s="424"/>
      <c r="L25" s="424"/>
      <c r="M25" s="424"/>
      <c r="N25" s="424"/>
      <c r="O25" s="393"/>
      <c r="P25" s="393"/>
      <c r="Q25" s="393"/>
      <c r="R25" s="425"/>
      <c r="S25" s="424"/>
      <c r="T25" s="634" t="s">
        <v>544</v>
      </c>
      <c r="U25" s="634"/>
      <c r="V25" s="634"/>
      <c r="W25" s="635">
        <f>TRUNC(W24,-3)</f>
        <v>8545000</v>
      </c>
      <c r="X25" s="635"/>
      <c r="Y25" s="635"/>
      <c r="Z25" s="635"/>
      <c r="AA25" s="442" t="s">
        <v>537</v>
      </c>
      <c r="AB25" s="425"/>
      <c r="AC25" s="423"/>
      <c r="AD25" s="423"/>
      <c r="AE25" s="391"/>
      <c r="AF25" s="427"/>
      <c r="AG25" s="391"/>
      <c r="AH25" s="396">
        <v>0</v>
      </c>
      <c r="AI25" s="397" t="s">
        <v>621</v>
      </c>
      <c r="AJ25" s="250" t="s">
        <v>512</v>
      </c>
      <c r="AK25" s="250" t="s">
        <v>150</v>
      </c>
    </row>
    <row r="26" spans="1:37" s="9" customFormat="1" ht="24.95" customHeight="1" thickBot="1">
      <c r="A26" s="428"/>
      <c r="B26" s="431"/>
      <c r="C26" s="432"/>
      <c r="D26" s="432"/>
      <c r="E26" s="432"/>
      <c r="F26" s="432"/>
      <c r="G26" s="432"/>
      <c r="H26" s="432"/>
      <c r="I26" s="432"/>
      <c r="J26" s="432"/>
      <c r="K26" s="431"/>
      <c r="L26" s="431"/>
      <c r="M26" s="431"/>
      <c r="N26" s="431"/>
      <c r="O26" s="443"/>
      <c r="P26" s="443"/>
      <c r="Q26" s="443"/>
      <c r="R26" s="432"/>
      <c r="S26" s="431"/>
      <c r="T26" s="633"/>
      <c r="U26" s="633"/>
      <c r="V26" s="633"/>
      <c r="W26" s="444"/>
      <c r="X26" s="444"/>
      <c r="Y26" s="444"/>
      <c r="Z26" s="444"/>
      <c r="AA26" s="430"/>
      <c r="AB26" s="432"/>
      <c r="AC26" s="430"/>
      <c r="AD26" s="430"/>
      <c r="AE26" s="429"/>
      <c r="AF26" s="433"/>
      <c r="AG26" s="391"/>
      <c r="AH26" s="396">
        <v>0</v>
      </c>
      <c r="AI26" s="397">
        <f>설계용역내역서!G10</f>
        <v>9430000</v>
      </c>
      <c r="AJ26" s="251">
        <f>V6</f>
        <v>55000000</v>
      </c>
      <c r="AK26" s="252">
        <f>AI26+AJ26</f>
        <v>64430000</v>
      </c>
    </row>
    <row r="27" spans="1:37" s="9" customFormat="1" ht="24.95" customHeight="1">
      <c r="AI27" s="39"/>
    </row>
    <row r="28" spans="1:37" s="9" customFormat="1" ht="17.100000000000001" customHeight="1">
      <c r="C28" s="10"/>
      <c r="D28" s="11"/>
      <c r="E28" s="12"/>
      <c r="AI28" s="37"/>
    </row>
    <row r="29" spans="1:37" s="9" customFormat="1" ht="17.100000000000001" customHeight="1">
      <c r="C29" s="10"/>
      <c r="D29" s="11"/>
      <c r="E29" s="12"/>
      <c r="AI29" s="37"/>
    </row>
    <row r="30" spans="1:37" s="9" customFormat="1" ht="17.100000000000001" customHeight="1">
      <c r="C30" s="10"/>
      <c r="D30" s="11"/>
      <c r="E30" s="12"/>
      <c r="AI30" s="37"/>
    </row>
    <row r="31" spans="1:37" ht="17.100000000000001" customHeight="1"/>
    <row r="32" spans="1:37" ht="17.100000000000001" customHeight="1"/>
    <row r="33" ht="17.100000000000001" customHeight="1"/>
    <row r="34" ht="17.100000000000001" customHeight="1"/>
    <row r="35" ht="17.100000000000001" customHeight="1"/>
    <row r="36" ht="17.100000000000001" customHeight="1"/>
    <row r="37" ht="17.100000000000001" customHeight="1"/>
    <row r="38" ht="17.100000000000001" customHeight="1"/>
    <row r="39" ht="17.100000000000001" customHeight="1"/>
    <row r="40" ht="17.100000000000001" customHeight="1"/>
    <row r="41" ht="17.100000000000001" customHeight="1"/>
    <row r="42" ht="17.100000000000001" customHeight="1"/>
    <row r="43" ht="17.100000000000001" customHeight="1"/>
    <row r="44" ht="17.100000000000001" customHeight="1"/>
    <row r="45" ht="17.100000000000001" customHeight="1"/>
    <row r="46" ht="17.100000000000001" customHeight="1"/>
    <row r="47" ht="17.100000000000001" customHeight="1"/>
    <row r="48" ht="17.100000000000001" customHeight="1"/>
    <row r="49" ht="17.100000000000001" customHeight="1"/>
    <row r="50" ht="17.100000000000001" customHeight="1"/>
    <row r="51" ht="17.100000000000001" customHeight="1"/>
    <row r="52" ht="17.100000000000001" customHeight="1"/>
    <row r="53" ht="17.100000000000001" customHeight="1"/>
    <row r="54" ht="17.100000000000001" customHeight="1"/>
    <row r="55" ht="17.100000000000001" customHeight="1"/>
    <row r="56" ht="17.100000000000001" customHeight="1"/>
    <row r="57" ht="17.100000000000001" customHeight="1"/>
    <row r="58" ht="17.100000000000001" customHeight="1"/>
    <row r="59" ht="17.100000000000001" customHeight="1"/>
    <row r="60" ht="17.100000000000001" customHeight="1"/>
    <row r="61" ht="17.100000000000001" customHeight="1"/>
    <row r="62" ht="17.100000000000001" customHeight="1"/>
    <row r="63" ht="17.100000000000001" customHeight="1"/>
    <row r="64" ht="17.100000000000001" customHeight="1"/>
    <row r="65" ht="17.100000000000001" customHeight="1"/>
    <row r="66" ht="17.100000000000001" customHeight="1"/>
    <row r="67" ht="17.100000000000001" customHeight="1"/>
    <row r="68" ht="17.100000000000001" customHeight="1"/>
    <row r="69" ht="17.100000000000001" customHeight="1"/>
    <row r="70" ht="17.100000000000001" customHeight="1"/>
    <row r="71" ht="17.100000000000001" customHeight="1"/>
    <row r="72" ht="17.100000000000001" customHeight="1"/>
    <row r="73" ht="17.100000000000001" customHeight="1"/>
    <row r="74" ht="17.100000000000001" customHeight="1"/>
    <row r="75" ht="17.100000000000001" customHeight="1"/>
    <row r="76" ht="17.100000000000001" customHeight="1"/>
    <row r="77" ht="17.100000000000001" customHeight="1"/>
    <row r="78" ht="17.100000000000001" customHeight="1"/>
    <row r="79" ht="17.100000000000001" customHeight="1"/>
    <row r="80" ht="17.100000000000001" customHeight="1"/>
    <row r="81" ht="17.100000000000001" customHeight="1"/>
    <row r="82" ht="17.100000000000001" customHeight="1"/>
    <row r="83" ht="17.100000000000001" customHeight="1"/>
    <row r="84" ht="17.100000000000001" customHeight="1"/>
    <row r="85" ht="17.100000000000001" customHeight="1"/>
    <row r="86" ht="17.100000000000001" customHeight="1"/>
    <row r="87" ht="17.100000000000001" customHeight="1"/>
    <row r="88" ht="17.100000000000001" customHeight="1"/>
    <row r="89" ht="17.100000000000001" customHeight="1"/>
    <row r="90" ht="17.100000000000001" customHeight="1"/>
    <row r="91" ht="17.100000000000001" customHeight="1"/>
    <row r="92" ht="17.100000000000001" customHeight="1"/>
    <row r="93" ht="17.100000000000001" customHeight="1"/>
    <row r="94" ht="17.100000000000001" customHeight="1"/>
    <row r="95" ht="17.100000000000001" customHeight="1"/>
  </sheetData>
  <autoFilter ref="A1:AH26" xr:uid="{00000000-0001-0000-0800-000000000000}">
    <filterColumn colId="33">
      <colorFilter dxfId="5"/>
    </filterColumn>
  </autoFilter>
  <mergeCells count="52">
    <mergeCell ref="A2:AB2"/>
    <mergeCell ref="B6:K7"/>
    <mergeCell ref="L6:N7"/>
    <mergeCell ref="O6:Q7"/>
    <mergeCell ref="B8:K8"/>
    <mergeCell ref="L8:N8"/>
    <mergeCell ref="O8:Q8"/>
    <mergeCell ref="R8:U8"/>
    <mergeCell ref="V8:AB8"/>
    <mergeCell ref="B9:K9"/>
    <mergeCell ref="L9:N9"/>
    <mergeCell ref="O9:Q9"/>
    <mergeCell ref="R9:U9"/>
    <mergeCell ref="V9:AB9"/>
    <mergeCell ref="B5:K5"/>
    <mergeCell ref="L5:N5"/>
    <mergeCell ref="R5:U5"/>
    <mergeCell ref="V5:AB5"/>
    <mergeCell ref="AC5:AE5"/>
    <mergeCell ref="F16:G16"/>
    <mergeCell ref="E19:F20"/>
    <mergeCell ref="H19:H20"/>
    <mergeCell ref="U10:AE10"/>
    <mergeCell ref="F15:G15"/>
    <mergeCell ref="L15:M15"/>
    <mergeCell ref="P15:X15"/>
    <mergeCell ref="P16:X16"/>
    <mergeCell ref="L16:M16"/>
    <mergeCell ref="W14:X14"/>
    <mergeCell ref="I13:J13"/>
    <mergeCell ref="H17:L17"/>
    <mergeCell ref="J19:N19"/>
    <mergeCell ref="C24:J24"/>
    <mergeCell ref="L24:M24"/>
    <mergeCell ref="D19:D20"/>
    <mergeCell ref="F21:I21"/>
    <mergeCell ref="N20:S20"/>
    <mergeCell ref="U20:Y20"/>
    <mergeCell ref="W24:Z24"/>
    <mergeCell ref="O24:Q24"/>
    <mergeCell ref="T24:U24"/>
    <mergeCell ref="AC6:AE7"/>
    <mergeCell ref="T26:V26"/>
    <mergeCell ref="T25:V25"/>
    <mergeCell ref="W25:Z25"/>
    <mergeCell ref="AB19:AC19"/>
    <mergeCell ref="P19:T19"/>
    <mergeCell ref="X19:Y19"/>
    <mergeCell ref="AC8:AE8"/>
    <mergeCell ref="R6:U7"/>
    <mergeCell ref="V6:AB7"/>
    <mergeCell ref="AC9:AE9"/>
  </mergeCells>
  <phoneticPr fontId="87" type="noConversion"/>
  <conditionalFormatting sqref="AH1:AH1048576">
    <cfRule type="cellIs" dxfId="4" priority="1" operator="equal">
      <formula>0</formula>
    </cfRule>
    <cfRule type="cellIs" dxfId="3" priority="2" stopIfTrue="1" operator="equal">
      <formula>1</formula>
    </cfRule>
  </conditionalFormatting>
  <pageMargins left="1.2202777862548828" right="1.0234721899032593" top="0.7086111307144165" bottom="0.74777776002883911" header="0.51166665554046631" footer="0.51166665554046631"/>
  <pageSetup paperSize="9" scale="99" orientation="landscape" r:id="rId1"/>
  <colBreaks count="1" manualBreakCount="1">
    <brk id="34" min="1" max="16384" man="1"/>
  </col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'기초1(요율적용기준) '!$I$5:$I$16</xm:f>
          </x14:formula1>
          <xm:sqref>F15:G16</xm:sqref>
        </x14:dataValidation>
        <x14:dataValidation type="list" allowBlank="1" showInputMessage="1" showErrorMessage="1" xr:uid="{00000000-0002-0000-0800-000001000000}">
          <x14:formula1>
            <xm:f>'기초1(요율적용기준) '!$I$1:$I$3</xm:f>
          </x14:formula1>
          <xm:sqref>I13:J13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FCD5B5"/>
  </sheetPr>
  <dimension ref="A1:AJ94"/>
  <sheetViews>
    <sheetView showGridLines="0" view="pageBreakPreview" topLeftCell="A2" zoomScaleNormal="100" zoomScaleSheetLayoutView="100" workbookViewId="0">
      <selection activeCell="W28" sqref="W28"/>
    </sheetView>
  </sheetViews>
  <sheetFormatPr defaultColWidth="8.88671875" defaultRowHeight="21.6" customHeight="1"/>
  <cols>
    <col min="1" max="1" width="1.88671875" style="3" customWidth="1"/>
    <col min="2" max="2" width="2.44140625" style="3" customWidth="1"/>
    <col min="3" max="3" width="2.44140625" style="5" customWidth="1"/>
    <col min="4" max="4" width="2.44140625" style="6" customWidth="1"/>
    <col min="5" max="5" width="2.44140625" style="4" customWidth="1"/>
    <col min="6" max="10" width="2.44140625" style="3" customWidth="1"/>
    <col min="11" max="11" width="2.77734375" style="3" customWidth="1"/>
    <col min="12" max="13" width="3.109375" style="3" customWidth="1"/>
    <col min="14" max="14" width="2.44140625" style="3" customWidth="1"/>
    <col min="15" max="15" width="2.77734375" style="3" customWidth="1"/>
    <col min="16" max="16" width="2.44140625" style="3" customWidth="1"/>
    <col min="17" max="17" width="1.88671875" style="3" customWidth="1"/>
    <col min="18" max="19" width="2.44140625" style="3" customWidth="1"/>
    <col min="20" max="20" width="4.88671875" style="3" customWidth="1"/>
    <col min="21" max="21" width="1.88671875" style="3" customWidth="1"/>
    <col min="22" max="22" width="1.109375" style="3" customWidth="1"/>
    <col min="23" max="23" width="2.44140625" style="3" customWidth="1"/>
    <col min="24" max="24" width="3.44140625" style="3" customWidth="1"/>
    <col min="25" max="25" width="3.88671875" style="3" customWidth="1"/>
    <col min="26" max="27" width="2.44140625" style="3" customWidth="1"/>
    <col min="28" max="28" width="3.5546875" style="3" customWidth="1"/>
    <col min="29" max="29" width="3.88671875" style="3" customWidth="1"/>
    <col min="30" max="30" width="4.88671875" style="3" bestFit="1" customWidth="1"/>
    <col min="31" max="31" width="15.109375" style="3" customWidth="1"/>
    <col min="32" max="32" width="2.109375" style="3" customWidth="1"/>
    <col min="33" max="33" width="12.33203125" style="40" customWidth="1"/>
    <col min="34" max="34" width="13.6640625" style="3" customWidth="1"/>
    <col min="35" max="35" width="11.6640625" style="3" customWidth="1"/>
    <col min="36" max="36" width="8" style="3" customWidth="1"/>
    <col min="37" max="43" width="6.77734375" style="3" customWidth="1"/>
    <col min="44" max="16384" width="8.88671875" style="3"/>
  </cols>
  <sheetData>
    <row r="1" spans="1:36" s="13" customFormat="1" ht="30" customHeight="1">
      <c r="A1" s="702" t="s">
        <v>459</v>
      </c>
      <c r="B1" s="702"/>
      <c r="C1" s="702"/>
      <c r="D1" s="702"/>
      <c r="E1" s="702"/>
      <c r="F1" s="702"/>
      <c r="G1" s="702"/>
      <c r="H1" s="702"/>
      <c r="I1" s="702"/>
      <c r="J1" s="702"/>
      <c r="K1" s="702"/>
      <c r="L1" s="702"/>
      <c r="M1" s="702"/>
      <c r="N1" s="702"/>
      <c r="O1" s="702"/>
      <c r="P1" s="702"/>
      <c r="Q1" s="702"/>
      <c r="R1" s="702"/>
      <c r="S1" s="702"/>
      <c r="T1" s="702"/>
      <c r="U1" s="702"/>
      <c r="V1" s="702"/>
      <c r="W1" s="702"/>
      <c r="X1" s="702"/>
      <c r="Y1" s="702"/>
      <c r="Z1" s="702"/>
      <c r="AA1" s="702"/>
      <c r="AB1" s="702"/>
      <c r="AG1" s="32"/>
    </row>
    <row r="2" spans="1:36" s="13" customFormat="1" ht="5.25" customHeight="1">
      <c r="B2" s="41"/>
      <c r="C2" s="41"/>
      <c r="D2" s="41"/>
      <c r="E2" s="41"/>
      <c r="F2" s="41"/>
      <c r="G2" s="41"/>
      <c r="H2" s="41"/>
      <c r="I2" s="41"/>
      <c r="J2" s="42"/>
      <c r="K2" s="42"/>
      <c r="L2" s="42"/>
      <c r="M2" s="42"/>
      <c r="N2" s="42"/>
      <c r="O2" s="42"/>
      <c r="P2" s="42"/>
      <c r="Q2" s="42"/>
      <c r="R2" s="42"/>
      <c r="S2" s="42"/>
      <c r="T2" s="42"/>
      <c r="U2" s="42"/>
      <c r="V2" s="42"/>
      <c r="W2" s="42"/>
      <c r="X2" s="42"/>
      <c r="Y2" s="42"/>
      <c r="Z2" s="42"/>
      <c r="AG2" s="32"/>
    </row>
    <row r="3" spans="1:36" s="7" customFormat="1" ht="24.95" customHeight="1">
      <c r="A3" s="120"/>
      <c r="B3" s="121" t="s">
        <v>451</v>
      </c>
      <c r="C3" s="122"/>
      <c r="D3" s="123"/>
      <c r="E3" s="124"/>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c r="AE3" s="121"/>
      <c r="AF3" s="125"/>
      <c r="AG3" s="33"/>
      <c r="AH3" s="8"/>
    </row>
    <row r="4" spans="1:36" s="28" customFormat="1" ht="18.75" customHeight="1">
      <c r="A4" s="126"/>
      <c r="B4" s="703" t="s">
        <v>52</v>
      </c>
      <c r="C4" s="704"/>
      <c r="D4" s="704"/>
      <c r="E4" s="704"/>
      <c r="F4" s="704"/>
      <c r="G4" s="704"/>
      <c r="H4" s="704"/>
      <c r="I4" s="704"/>
      <c r="J4" s="704"/>
      <c r="K4" s="704"/>
      <c r="L4" s="704" t="s">
        <v>532</v>
      </c>
      <c r="M4" s="704"/>
      <c r="N4" s="704"/>
      <c r="O4" s="169"/>
      <c r="P4" s="169" t="s">
        <v>535</v>
      </c>
      <c r="Q4" s="169"/>
      <c r="R4" s="704" t="s">
        <v>618</v>
      </c>
      <c r="S4" s="704"/>
      <c r="T4" s="704"/>
      <c r="U4" s="704"/>
      <c r="V4" s="704" t="s">
        <v>584</v>
      </c>
      <c r="W4" s="704"/>
      <c r="X4" s="704"/>
      <c r="Y4" s="704"/>
      <c r="Z4" s="704"/>
      <c r="AA4" s="704"/>
      <c r="AB4" s="704"/>
      <c r="AC4" s="705" t="s">
        <v>612</v>
      </c>
      <c r="AD4" s="705"/>
      <c r="AE4" s="706"/>
      <c r="AF4" s="127"/>
      <c r="AG4" s="34"/>
      <c r="AH4" s="27"/>
      <c r="AI4" s="27"/>
    </row>
    <row r="5" spans="1:36" s="28" customFormat="1" ht="18.75" customHeight="1">
      <c r="A5" s="126"/>
      <c r="B5" s="707" t="str">
        <f>표지!A5</f>
        <v>ㅇㅇㅇㅇㅇㅇㅇㅇㅇ</v>
      </c>
      <c r="C5" s="708"/>
      <c r="D5" s="708"/>
      <c r="E5" s="708"/>
      <c r="F5" s="708"/>
      <c r="G5" s="708"/>
      <c r="H5" s="708"/>
      <c r="I5" s="708"/>
      <c r="J5" s="708"/>
      <c r="K5" s="709"/>
      <c r="L5" s="684">
        <v>1</v>
      </c>
      <c r="M5" s="685"/>
      <c r="N5" s="686"/>
      <c r="O5" s="690" t="s">
        <v>527</v>
      </c>
      <c r="P5" s="691"/>
      <c r="Q5" s="692"/>
      <c r="R5" s="659"/>
      <c r="S5" s="660"/>
      <c r="T5" s="660"/>
      <c r="U5" s="661"/>
      <c r="V5" s="665">
        <v>25300000</v>
      </c>
      <c r="W5" s="666"/>
      <c r="X5" s="666"/>
      <c r="Y5" s="666"/>
      <c r="Z5" s="666"/>
      <c r="AA5" s="666"/>
      <c r="AB5" s="667"/>
      <c r="AC5" s="696"/>
      <c r="AD5" s="697"/>
      <c r="AE5" s="698"/>
      <c r="AF5" s="128"/>
      <c r="AG5" s="35"/>
      <c r="AH5" s="29"/>
      <c r="AI5" s="12"/>
      <c r="AJ5" s="30"/>
    </row>
    <row r="6" spans="1:36" s="28" customFormat="1" ht="18.75" customHeight="1">
      <c r="A6" s="126"/>
      <c r="B6" s="710"/>
      <c r="C6" s="711"/>
      <c r="D6" s="711"/>
      <c r="E6" s="711"/>
      <c r="F6" s="711"/>
      <c r="G6" s="711"/>
      <c r="H6" s="711"/>
      <c r="I6" s="711"/>
      <c r="J6" s="711"/>
      <c r="K6" s="712"/>
      <c r="L6" s="687"/>
      <c r="M6" s="688"/>
      <c r="N6" s="689"/>
      <c r="O6" s="693"/>
      <c r="P6" s="694"/>
      <c r="Q6" s="695"/>
      <c r="R6" s="662"/>
      <c r="S6" s="663"/>
      <c r="T6" s="663"/>
      <c r="U6" s="664"/>
      <c r="V6" s="668"/>
      <c r="W6" s="669"/>
      <c r="X6" s="669"/>
      <c r="Y6" s="669"/>
      <c r="Z6" s="669"/>
      <c r="AA6" s="669"/>
      <c r="AB6" s="670"/>
      <c r="AC6" s="699"/>
      <c r="AD6" s="700"/>
      <c r="AE6" s="701"/>
      <c r="AF6" s="128"/>
      <c r="AG6" s="35"/>
      <c r="AH6" s="29"/>
      <c r="AI6" s="12"/>
      <c r="AJ6" s="30"/>
    </row>
    <row r="7" spans="1:36" s="28" customFormat="1" ht="18.75" customHeight="1">
      <c r="A7" s="126"/>
      <c r="B7" s="671" t="s">
        <v>605</v>
      </c>
      <c r="C7" s="672"/>
      <c r="D7" s="672"/>
      <c r="E7" s="672"/>
      <c r="F7" s="672"/>
      <c r="G7" s="672"/>
      <c r="H7" s="672"/>
      <c r="I7" s="672"/>
      <c r="J7" s="672"/>
      <c r="K7" s="672"/>
      <c r="L7" s="673"/>
      <c r="M7" s="673"/>
      <c r="N7" s="673"/>
      <c r="O7" s="674"/>
      <c r="P7" s="674"/>
      <c r="Q7" s="674"/>
      <c r="R7" s="673"/>
      <c r="S7" s="673"/>
      <c r="T7" s="673"/>
      <c r="U7" s="673"/>
      <c r="V7" s="675">
        <f>SUM(V5:AB6)</f>
        <v>25300000</v>
      </c>
      <c r="W7" s="675"/>
      <c r="X7" s="675"/>
      <c r="Y7" s="675"/>
      <c r="Z7" s="675"/>
      <c r="AA7" s="675"/>
      <c r="AB7" s="675"/>
      <c r="AC7" s="653" t="s">
        <v>575</v>
      </c>
      <c r="AD7" s="653"/>
      <c r="AE7" s="654"/>
      <c r="AF7" s="128"/>
      <c r="AG7" s="35"/>
      <c r="AH7" s="29"/>
      <c r="AI7" s="12"/>
      <c r="AJ7" s="30"/>
    </row>
    <row r="8" spans="1:36" s="28" customFormat="1" ht="18.75" customHeight="1">
      <c r="A8" s="126"/>
      <c r="B8" s="671" t="s">
        <v>582</v>
      </c>
      <c r="C8" s="672"/>
      <c r="D8" s="672"/>
      <c r="E8" s="672"/>
      <c r="F8" s="672"/>
      <c r="G8" s="672"/>
      <c r="H8" s="672"/>
      <c r="I8" s="672"/>
      <c r="J8" s="672"/>
      <c r="K8" s="672"/>
      <c r="L8" s="673"/>
      <c r="M8" s="673"/>
      <c r="N8" s="673"/>
      <c r="O8" s="674"/>
      <c r="P8" s="674"/>
      <c r="Q8" s="674"/>
      <c r="R8" s="673"/>
      <c r="S8" s="673"/>
      <c r="T8" s="673"/>
      <c r="U8" s="673"/>
      <c r="V8" s="675">
        <f>TRUNC(V7/1.1,-3)</f>
        <v>23000000</v>
      </c>
      <c r="W8" s="675"/>
      <c r="X8" s="675"/>
      <c r="Y8" s="675"/>
      <c r="Z8" s="675"/>
      <c r="AA8" s="675"/>
      <c r="AB8" s="675"/>
      <c r="AC8" s="653" t="s">
        <v>576</v>
      </c>
      <c r="AD8" s="653"/>
      <c r="AE8" s="654"/>
      <c r="AF8" s="128"/>
      <c r="AG8" s="51"/>
      <c r="AH8" s="52"/>
      <c r="AI8" s="52"/>
      <c r="AJ8" s="30"/>
    </row>
    <row r="9" spans="1:36" s="28" customFormat="1" ht="15" customHeight="1">
      <c r="A9" s="126"/>
      <c r="B9" s="129"/>
      <c r="C9" s="130"/>
      <c r="D9" s="130"/>
      <c r="E9" s="131"/>
      <c r="F9" s="131"/>
      <c r="G9" s="131"/>
      <c r="H9" s="130"/>
      <c r="I9" s="130"/>
      <c r="J9" s="130"/>
      <c r="K9" s="130"/>
      <c r="L9" s="132"/>
      <c r="M9" s="130"/>
      <c r="N9" s="130"/>
      <c r="O9" s="130"/>
      <c r="P9" s="130"/>
      <c r="Q9" s="130"/>
      <c r="R9" s="130"/>
      <c r="S9" s="130"/>
      <c r="T9" s="130"/>
      <c r="U9" s="713"/>
      <c r="V9" s="713"/>
      <c r="W9" s="713"/>
      <c r="X9" s="713"/>
      <c r="Y9" s="713"/>
      <c r="Z9" s="713"/>
      <c r="AA9" s="713"/>
      <c r="AB9" s="713"/>
      <c r="AC9" s="713"/>
      <c r="AD9" s="713"/>
      <c r="AE9" s="713"/>
      <c r="AF9" s="133"/>
      <c r="AG9" s="51"/>
      <c r="AH9" s="52"/>
      <c r="AI9" s="52"/>
    </row>
    <row r="10" spans="1:36" s="26" customFormat="1" ht="24.75" customHeight="1">
      <c r="A10" s="134"/>
      <c r="B10" s="135" t="s">
        <v>106</v>
      </c>
      <c r="C10" s="135"/>
      <c r="D10" s="135"/>
      <c r="E10" s="135"/>
      <c r="F10" s="136"/>
      <c r="G10" s="136"/>
      <c r="H10" s="137"/>
      <c r="I10" s="135"/>
      <c r="J10" s="138"/>
      <c r="K10" s="138"/>
      <c r="L10" s="138"/>
      <c r="M10" s="138"/>
      <c r="N10" s="138"/>
      <c r="O10" s="138"/>
      <c r="P10" s="139"/>
      <c r="Q10" s="140"/>
      <c r="R10" s="140"/>
      <c r="S10" s="140"/>
      <c r="T10" s="140"/>
      <c r="U10" s="138"/>
      <c r="V10" s="138"/>
      <c r="W10" s="138"/>
      <c r="X10" s="138"/>
      <c r="Y10" s="138"/>
      <c r="Z10" s="138"/>
      <c r="AA10" s="138"/>
      <c r="AB10" s="138"/>
      <c r="AC10" s="135"/>
      <c r="AD10" s="135"/>
      <c r="AE10" s="135"/>
      <c r="AF10" s="141"/>
      <c r="AG10" s="36"/>
      <c r="AI10" s="31"/>
    </row>
    <row r="11" spans="1:36" s="9" customFormat="1" ht="18.75" customHeight="1">
      <c r="A11" s="142"/>
      <c r="B11" s="143" t="s">
        <v>254</v>
      </c>
      <c r="C11" s="143"/>
      <c r="D11" s="143"/>
      <c r="E11" s="143"/>
      <c r="F11" s="144"/>
      <c r="G11" s="144"/>
      <c r="H11" s="145"/>
      <c r="I11" s="143"/>
      <c r="J11" s="146"/>
      <c r="K11" s="146"/>
      <c r="L11" s="146"/>
      <c r="M11" s="146"/>
      <c r="N11" s="146"/>
      <c r="O11" s="146"/>
      <c r="P11" s="147"/>
      <c r="Q11" s="148"/>
      <c r="R11" s="148"/>
      <c r="S11" s="148"/>
      <c r="T11" s="148"/>
      <c r="U11" s="146"/>
      <c r="V11" s="146"/>
      <c r="W11" s="146"/>
      <c r="X11" s="146"/>
      <c r="Y11" s="146"/>
      <c r="Z11" s="146"/>
      <c r="AA11" s="146"/>
      <c r="AB11" s="146"/>
      <c r="AC11" s="143"/>
      <c r="AD11" s="143"/>
      <c r="AE11" s="143"/>
      <c r="AF11" s="149"/>
      <c r="AG11" s="37"/>
      <c r="AI11" s="12"/>
    </row>
    <row r="12" spans="1:36" s="9" customFormat="1" ht="18.75" customHeight="1">
      <c r="A12" s="142"/>
      <c r="B12" s="143" t="s">
        <v>39</v>
      </c>
      <c r="C12" s="143"/>
      <c r="D12" s="143"/>
      <c r="E12" s="143"/>
      <c r="F12" s="144"/>
      <c r="G12" s="144"/>
      <c r="H12" s="145"/>
      <c r="I12" s="714" t="s">
        <v>143</v>
      </c>
      <c r="J12" s="714"/>
      <c r="K12" s="144" t="s">
        <v>476</v>
      </c>
      <c r="L12" s="146"/>
      <c r="M12" s="146"/>
      <c r="N12" s="146"/>
      <c r="O12" s="146"/>
      <c r="P12" s="147"/>
      <c r="Q12" s="148"/>
      <c r="R12" s="148"/>
      <c r="S12" s="148"/>
      <c r="T12" s="148"/>
      <c r="U12" s="146"/>
      <c r="V12" s="146"/>
      <c r="W12" s="146"/>
      <c r="X12" s="146"/>
      <c r="Y12" s="146"/>
      <c r="Z12" s="146"/>
      <c r="AA12" s="146"/>
      <c r="AB12" s="146"/>
      <c r="AC12" s="143"/>
      <c r="AD12" s="143"/>
      <c r="AE12" s="143"/>
      <c r="AF12" s="149"/>
      <c r="AG12" s="37"/>
      <c r="AI12" s="12"/>
    </row>
    <row r="13" spans="1:36" s="9" customFormat="1" ht="18.75" hidden="1" customHeight="1">
      <c r="A13" s="142"/>
      <c r="B13" s="143"/>
      <c r="C13" s="143"/>
      <c r="D13" s="143"/>
      <c r="E13" s="143"/>
      <c r="F13" s="144"/>
      <c r="G13" s="143"/>
      <c r="H13" s="143"/>
      <c r="I13" s="145"/>
      <c r="J13" s="143"/>
      <c r="K13" s="146"/>
      <c r="L13" s="143"/>
      <c r="M13" s="143"/>
      <c r="N13" s="143"/>
      <c r="O13" s="146"/>
      <c r="P13" s="146"/>
      <c r="Q13" s="143"/>
      <c r="R13" s="150" t="s">
        <v>456</v>
      </c>
      <c r="S13" s="150"/>
      <c r="T13" s="148"/>
      <c r="U13" s="148"/>
      <c r="V13" s="146"/>
      <c r="W13" s="715">
        <v>1</v>
      </c>
      <c r="X13" s="715"/>
      <c r="Y13" s="144" t="s">
        <v>577</v>
      </c>
      <c r="Z13" s="145"/>
      <c r="AA13" s="143"/>
      <c r="AB13" s="143"/>
      <c r="AC13" s="143"/>
      <c r="AD13" s="143"/>
      <c r="AE13" s="143"/>
      <c r="AF13" s="149"/>
      <c r="AG13" s="37"/>
    </row>
    <row r="14" spans="1:36" s="9" customFormat="1" ht="18.75" customHeight="1">
      <c r="A14" s="142"/>
      <c r="B14" s="143" t="s">
        <v>450</v>
      </c>
      <c r="C14" s="143"/>
      <c r="D14" s="143"/>
      <c r="E14" s="143"/>
      <c r="F14" s="714">
        <v>0.3</v>
      </c>
      <c r="G14" s="714"/>
      <c r="H14" s="143" t="s">
        <v>458</v>
      </c>
      <c r="I14" s="143"/>
      <c r="J14" s="145"/>
      <c r="K14" s="145"/>
      <c r="L14" s="716">
        <f>VLOOKUP(AH14,'기초1(요율적용기준) '!$M$5:$N$41,2,0)</f>
        <v>16.940000000000001</v>
      </c>
      <c r="M14" s="716"/>
      <c r="N14" s="146" t="s">
        <v>534</v>
      </c>
      <c r="O14" s="146"/>
      <c r="P14" s="717" t="s">
        <v>478</v>
      </c>
      <c r="Q14" s="717"/>
      <c r="R14" s="717"/>
      <c r="S14" s="717"/>
      <c r="T14" s="717"/>
      <c r="U14" s="717"/>
      <c r="V14" s="717"/>
      <c r="W14" s="717"/>
      <c r="X14" s="717"/>
      <c r="Y14" s="145"/>
      <c r="Z14" s="145"/>
      <c r="AA14" s="145"/>
      <c r="AB14" s="145"/>
      <c r="AC14" s="145"/>
      <c r="AD14" s="145"/>
      <c r="AE14" s="145"/>
      <c r="AF14" s="151"/>
      <c r="AG14" s="38"/>
      <c r="AH14" s="9" t="str">
        <f>F14&amp;" "&amp;$I$12</f>
        <v>0.3 보통</v>
      </c>
    </row>
    <row r="15" spans="1:36" s="9" customFormat="1" ht="18.75" hidden="1" customHeight="1">
      <c r="A15" s="142"/>
      <c r="B15" s="143" t="s">
        <v>450</v>
      </c>
      <c r="C15" s="143"/>
      <c r="D15" s="143"/>
      <c r="E15" s="144"/>
      <c r="F15" s="714">
        <v>0.5</v>
      </c>
      <c r="G15" s="714"/>
      <c r="H15" s="143" t="s">
        <v>458</v>
      </c>
      <c r="I15" s="143"/>
      <c r="J15" s="143"/>
      <c r="K15" s="143"/>
      <c r="L15" s="716">
        <f>VLOOKUP(AH15,'기초1(요율적용기준) '!$M$5:$N$41,2,0)</f>
        <v>15.54</v>
      </c>
      <c r="M15" s="716"/>
      <c r="N15" s="146" t="s">
        <v>534</v>
      </c>
      <c r="O15" s="146"/>
      <c r="P15" s="717" t="s">
        <v>478</v>
      </c>
      <c r="Q15" s="717"/>
      <c r="R15" s="717"/>
      <c r="S15" s="717"/>
      <c r="T15" s="717"/>
      <c r="U15" s="717"/>
      <c r="V15" s="717"/>
      <c r="W15" s="717"/>
      <c r="X15" s="717"/>
      <c r="Y15" s="143"/>
      <c r="Z15" s="143"/>
      <c r="AA15" s="143"/>
      <c r="AB15" s="143"/>
      <c r="AC15" s="143"/>
      <c r="AD15" s="143"/>
      <c r="AE15" s="143"/>
      <c r="AF15" s="149"/>
      <c r="AG15" s="37"/>
      <c r="AH15" s="9" t="str">
        <f>F15&amp;" "&amp;$I$12</f>
        <v>0.5 보통</v>
      </c>
    </row>
    <row r="16" spans="1:36" s="9" customFormat="1" ht="18.75" customHeight="1">
      <c r="A16" s="142"/>
      <c r="B16" s="143" t="s">
        <v>44</v>
      </c>
      <c r="C16" s="152"/>
      <c r="D16" s="153"/>
      <c r="E16" s="143"/>
      <c r="F16" s="143"/>
      <c r="G16" s="143"/>
      <c r="H16" s="718">
        <f>ROUND(V8*0.001,1)</f>
        <v>23000</v>
      </c>
      <c r="I16" s="718"/>
      <c r="J16" s="718"/>
      <c r="K16" s="718"/>
      <c r="L16" s="143" t="s">
        <v>45</v>
      </c>
      <c r="M16" s="145"/>
      <c r="N16" s="145"/>
      <c r="O16" s="145"/>
      <c r="P16" s="145"/>
      <c r="Q16" s="145"/>
      <c r="R16" s="145"/>
      <c r="S16" s="145"/>
      <c r="T16" s="145"/>
      <c r="U16" s="145"/>
      <c r="V16" s="145"/>
      <c r="W16" s="145"/>
      <c r="X16" s="145"/>
      <c r="Y16" s="145"/>
      <c r="Z16" s="145"/>
      <c r="AA16" s="145"/>
      <c r="AB16" s="145"/>
      <c r="AC16" s="145"/>
      <c r="AD16" s="145"/>
      <c r="AE16" s="145"/>
      <c r="AF16" s="151"/>
      <c r="AG16" s="38"/>
    </row>
    <row r="17" spans="1:35" s="9" customFormat="1" ht="18.75" customHeight="1">
      <c r="A17" s="142"/>
      <c r="B17" s="143" t="s">
        <v>559</v>
      </c>
      <c r="C17" s="143"/>
      <c r="D17" s="143"/>
      <c r="E17" s="143"/>
      <c r="F17" s="144"/>
      <c r="G17" s="144"/>
      <c r="H17" s="145"/>
      <c r="I17" s="143"/>
      <c r="J17" s="145"/>
      <c r="K17" s="145"/>
      <c r="L17" s="145"/>
      <c r="M17" s="145"/>
      <c r="N17" s="145" t="s">
        <v>173</v>
      </c>
      <c r="O17" s="721">
        <f>L14</f>
        <v>16.940000000000001</v>
      </c>
      <c r="P17" s="721"/>
      <c r="Q17" s="145" t="s">
        <v>534</v>
      </c>
      <c r="R17" s="144" t="s">
        <v>475</v>
      </c>
      <c r="S17" s="145"/>
      <c r="T17" s="145"/>
      <c r="U17" s="145"/>
      <c r="V17" s="145"/>
      <c r="W17" s="145"/>
      <c r="X17" s="145"/>
      <c r="Y17" s="145"/>
      <c r="Z17" s="145"/>
      <c r="AA17" s="145"/>
      <c r="AB17" s="145"/>
      <c r="AC17" s="145"/>
      <c r="AD17" s="145"/>
      <c r="AE17" s="145"/>
      <c r="AF17" s="151"/>
      <c r="AG17" s="38"/>
    </row>
    <row r="18" spans="1:35" s="9" customFormat="1" ht="15" hidden="1" customHeight="1">
      <c r="A18" s="142"/>
      <c r="B18" s="143"/>
      <c r="C18" s="154"/>
      <c r="D18" s="719" t="s">
        <v>531</v>
      </c>
      <c r="E18" s="721">
        <f>L14</f>
        <v>16.940000000000001</v>
      </c>
      <c r="F18" s="721"/>
      <c r="G18" s="155"/>
      <c r="H18" s="720" t="s">
        <v>521</v>
      </c>
      <c r="I18" s="156" t="s">
        <v>530</v>
      </c>
      <c r="J18" s="643">
        <f>H16*1000</f>
        <v>23000000</v>
      </c>
      <c r="K18" s="643"/>
      <c r="L18" s="643"/>
      <c r="M18" s="643"/>
      <c r="N18" s="643"/>
      <c r="O18" s="157" t="s">
        <v>521</v>
      </c>
      <c r="P18" s="642">
        <f>F14*100000000</f>
        <v>30000000</v>
      </c>
      <c r="Q18" s="642"/>
      <c r="R18" s="642"/>
      <c r="S18" s="642"/>
      <c r="T18" s="642"/>
      <c r="U18" s="158" t="s">
        <v>514</v>
      </c>
      <c r="V18" s="158" t="s">
        <v>543</v>
      </c>
      <c r="W18" s="158" t="s">
        <v>530</v>
      </c>
      <c r="X18" s="636">
        <f>L14</f>
        <v>16.940000000000001</v>
      </c>
      <c r="Y18" s="636"/>
      <c r="Z18" s="157" t="s">
        <v>521</v>
      </c>
      <c r="AA18" s="159"/>
      <c r="AB18" s="636">
        <f>L15</f>
        <v>15.54</v>
      </c>
      <c r="AC18" s="637"/>
      <c r="AD18" s="158" t="s">
        <v>514</v>
      </c>
      <c r="AE18" s="143"/>
      <c r="AF18" s="149"/>
      <c r="AG18" s="37"/>
    </row>
    <row r="19" spans="1:35" s="9" customFormat="1" ht="15" hidden="1" customHeight="1">
      <c r="A19" s="142"/>
      <c r="B19" s="143"/>
      <c r="C19" s="154"/>
      <c r="D19" s="720"/>
      <c r="E19" s="721"/>
      <c r="F19" s="721"/>
      <c r="G19" s="155"/>
      <c r="H19" s="720"/>
      <c r="I19" s="143"/>
      <c r="J19" s="143"/>
      <c r="K19" s="143"/>
      <c r="L19" s="143"/>
      <c r="M19" s="146" t="s">
        <v>530</v>
      </c>
      <c r="N19" s="728">
        <f>F15*100000000</f>
        <v>50000000</v>
      </c>
      <c r="O19" s="728"/>
      <c r="P19" s="728"/>
      <c r="Q19" s="728"/>
      <c r="R19" s="728"/>
      <c r="S19" s="728"/>
      <c r="T19" s="160" t="s">
        <v>521</v>
      </c>
      <c r="U19" s="728">
        <f>F14*100000000</f>
        <v>30000000</v>
      </c>
      <c r="V19" s="728"/>
      <c r="W19" s="728"/>
      <c r="X19" s="728"/>
      <c r="Y19" s="728"/>
      <c r="Z19" s="146" t="s">
        <v>514</v>
      </c>
      <c r="AA19" s="143"/>
      <c r="AB19" s="143"/>
      <c r="AC19" s="143"/>
      <c r="AD19" s="143"/>
      <c r="AE19" s="143"/>
      <c r="AF19" s="149"/>
      <c r="AG19" s="37"/>
    </row>
    <row r="20" spans="1:35" s="9" customFormat="1" ht="15" hidden="1" customHeight="1">
      <c r="A20" s="142"/>
      <c r="B20" s="143"/>
      <c r="C20" s="154"/>
      <c r="D20" s="160"/>
      <c r="E20" s="161" t="s">
        <v>536</v>
      </c>
      <c r="F20" s="722">
        <f>ROUND(E18-((J18-P18)*(X18-AB18))/(N19-U19),3)</f>
        <v>17.43</v>
      </c>
      <c r="G20" s="722"/>
      <c r="H20" s="722"/>
      <c r="I20" s="722"/>
      <c r="J20" s="143"/>
      <c r="K20" s="143"/>
      <c r="L20" s="143"/>
      <c r="M20" s="146"/>
      <c r="N20" s="162"/>
      <c r="O20" s="162"/>
      <c r="P20" s="162"/>
      <c r="Q20" s="162"/>
      <c r="R20" s="162"/>
      <c r="S20" s="162"/>
      <c r="T20" s="160"/>
      <c r="U20" s="162"/>
      <c r="V20" s="162"/>
      <c r="W20" s="162"/>
      <c r="X20" s="162"/>
      <c r="Y20" s="162"/>
      <c r="Z20" s="146"/>
      <c r="AA20" s="143"/>
      <c r="AB20" s="143"/>
      <c r="AC20" s="143"/>
      <c r="AD20" s="143"/>
      <c r="AE20" s="161"/>
      <c r="AF20" s="163"/>
      <c r="AG20" s="35"/>
    </row>
    <row r="21" spans="1:35" s="9" customFormat="1" ht="7.5" customHeight="1">
      <c r="A21" s="142"/>
      <c r="B21" s="143"/>
      <c r="C21" s="154"/>
      <c r="D21" s="160"/>
      <c r="E21" s="161"/>
      <c r="F21" s="161"/>
      <c r="G21" s="161"/>
      <c r="H21" s="161"/>
      <c r="I21" s="161"/>
      <c r="J21" s="161"/>
      <c r="K21" s="143"/>
      <c r="L21" s="143"/>
      <c r="M21" s="146"/>
      <c r="N21" s="162"/>
      <c r="O21" s="162"/>
      <c r="P21" s="162"/>
      <c r="Q21" s="162"/>
      <c r="R21" s="162"/>
      <c r="S21" s="162"/>
      <c r="T21" s="160"/>
      <c r="U21" s="162"/>
      <c r="V21" s="162"/>
      <c r="W21" s="162"/>
      <c r="X21" s="162"/>
      <c r="Y21" s="162"/>
      <c r="Z21" s="146"/>
      <c r="AA21" s="143"/>
      <c r="AB21" s="143"/>
      <c r="AC21" s="143"/>
      <c r="AD21" s="143"/>
      <c r="AE21" s="161"/>
      <c r="AF21" s="163"/>
      <c r="AG21" s="35"/>
    </row>
    <row r="22" spans="1:35" s="9" customFormat="1" ht="24.95" customHeight="1">
      <c r="A22" s="142"/>
      <c r="B22" s="143" t="s">
        <v>40</v>
      </c>
      <c r="C22" s="143"/>
      <c r="D22" s="143"/>
      <c r="E22" s="144"/>
      <c r="F22" s="143"/>
      <c r="G22" s="143"/>
      <c r="H22" s="143"/>
      <c r="I22" s="143"/>
      <c r="J22" s="143"/>
      <c r="K22" s="143"/>
      <c r="L22" s="143"/>
      <c r="M22" s="143"/>
      <c r="N22" s="143"/>
      <c r="O22" s="143"/>
      <c r="P22" s="143"/>
      <c r="Q22" s="143"/>
      <c r="R22" s="143"/>
      <c r="S22" s="143"/>
      <c r="T22" s="143"/>
      <c r="U22" s="143"/>
      <c r="V22" s="143"/>
      <c r="W22" s="143"/>
      <c r="X22" s="143"/>
      <c r="Y22" s="143"/>
      <c r="Z22" s="143"/>
      <c r="AA22" s="143"/>
      <c r="AB22" s="143"/>
      <c r="AC22" s="143"/>
      <c r="AD22" s="143"/>
      <c r="AE22" s="143"/>
      <c r="AF22" s="149"/>
      <c r="AG22" s="37"/>
    </row>
    <row r="23" spans="1:35" s="9" customFormat="1" ht="24.95" customHeight="1">
      <c r="A23" s="142"/>
      <c r="B23" s="146"/>
      <c r="C23" s="723">
        <f>V8</f>
        <v>23000000</v>
      </c>
      <c r="D23" s="723"/>
      <c r="E23" s="723"/>
      <c r="F23" s="723"/>
      <c r="G23" s="723"/>
      <c r="H23" s="723"/>
      <c r="I23" s="723"/>
      <c r="J23" s="723"/>
      <c r="K23" s="146" t="s">
        <v>543</v>
      </c>
      <c r="L23" s="719"/>
      <c r="M23" s="719"/>
      <c r="N23" s="146"/>
      <c r="O23" s="722">
        <f>O17</f>
        <v>16.940000000000001</v>
      </c>
      <c r="P23" s="722"/>
      <c r="Q23" s="722"/>
      <c r="R23" s="147" t="s">
        <v>534</v>
      </c>
      <c r="S23" s="146" t="s">
        <v>543</v>
      </c>
      <c r="T23" s="724">
        <f>W13</f>
        <v>1</v>
      </c>
      <c r="U23" s="724"/>
      <c r="V23" s="147" t="s">
        <v>536</v>
      </c>
      <c r="W23" s="729">
        <f>ROUNDDOWN(C23*O23%*T23,0)</f>
        <v>3896200</v>
      </c>
      <c r="X23" s="729"/>
      <c r="Y23" s="729"/>
      <c r="Z23" s="729"/>
      <c r="AA23" s="144" t="s">
        <v>537</v>
      </c>
      <c r="AB23" s="147"/>
      <c r="AC23" s="144"/>
      <c r="AD23" s="144"/>
      <c r="AE23" s="143"/>
      <c r="AF23" s="149"/>
      <c r="AG23" s="37"/>
    </row>
    <row r="24" spans="1:35" s="9" customFormat="1" ht="24.95" customHeight="1">
      <c r="A24" s="142"/>
      <c r="B24" s="146"/>
      <c r="C24" s="147"/>
      <c r="D24" s="147"/>
      <c r="E24" s="147"/>
      <c r="F24" s="147"/>
      <c r="G24" s="147"/>
      <c r="H24" s="147"/>
      <c r="I24" s="147"/>
      <c r="J24" s="147"/>
      <c r="K24" s="146"/>
      <c r="L24" s="146"/>
      <c r="M24" s="146"/>
      <c r="N24" s="146"/>
      <c r="O24" s="161"/>
      <c r="P24" s="161"/>
      <c r="Q24" s="161"/>
      <c r="R24" s="147"/>
      <c r="S24" s="146"/>
      <c r="T24" s="725" t="s">
        <v>544</v>
      </c>
      <c r="U24" s="725"/>
      <c r="V24" s="725"/>
      <c r="W24" s="726">
        <f>TRUNC(W23,-3)</f>
        <v>3896000</v>
      </c>
      <c r="X24" s="726"/>
      <c r="Y24" s="726"/>
      <c r="Z24" s="726"/>
      <c r="AA24" s="220" t="s">
        <v>537</v>
      </c>
      <c r="AB24" s="147"/>
      <c r="AC24" s="144"/>
      <c r="AD24" s="144"/>
      <c r="AE24" s="143"/>
      <c r="AF24" s="149"/>
      <c r="AG24" s="249" t="s">
        <v>621</v>
      </c>
      <c r="AH24" s="250" t="s">
        <v>512</v>
      </c>
      <c r="AI24" s="250" t="s">
        <v>150</v>
      </c>
    </row>
    <row r="25" spans="1:35" s="9" customFormat="1" ht="24.95" customHeight="1">
      <c r="A25" s="164"/>
      <c r="B25" s="158"/>
      <c r="C25" s="156"/>
      <c r="D25" s="156"/>
      <c r="E25" s="156"/>
      <c r="F25" s="156"/>
      <c r="G25" s="156"/>
      <c r="H25" s="156"/>
      <c r="I25" s="156"/>
      <c r="J25" s="156"/>
      <c r="K25" s="158"/>
      <c r="L25" s="158"/>
      <c r="M25" s="158"/>
      <c r="N25" s="158"/>
      <c r="O25" s="165"/>
      <c r="P25" s="165"/>
      <c r="Q25" s="165"/>
      <c r="R25" s="156"/>
      <c r="S25" s="158"/>
      <c r="T25" s="727"/>
      <c r="U25" s="727"/>
      <c r="V25" s="727"/>
      <c r="W25" s="166"/>
      <c r="X25" s="166"/>
      <c r="Y25" s="166"/>
      <c r="Z25" s="166"/>
      <c r="AA25" s="167"/>
      <c r="AB25" s="156"/>
      <c r="AC25" s="167"/>
      <c r="AD25" s="167"/>
      <c r="AE25" s="159"/>
      <c r="AF25" s="168"/>
      <c r="AG25" s="249">
        <f>설계용역내역서!G10</f>
        <v>9430000</v>
      </c>
      <c r="AH25" s="251">
        <f>V5</f>
        <v>25300000</v>
      </c>
      <c r="AI25" s="252">
        <f>AG25+AH25</f>
        <v>34730000</v>
      </c>
    </row>
    <row r="26" spans="1:35" s="9" customFormat="1" ht="24.95" customHeight="1">
      <c r="AG26" s="39"/>
    </row>
    <row r="27" spans="1:35" s="9" customFormat="1" ht="17.100000000000001" customHeight="1">
      <c r="C27" s="10"/>
      <c r="D27" s="11"/>
      <c r="E27" s="12"/>
      <c r="AG27" s="37"/>
    </row>
    <row r="28" spans="1:35" s="9" customFormat="1" ht="17.100000000000001" customHeight="1">
      <c r="C28" s="10"/>
      <c r="D28" s="11"/>
      <c r="E28" s="12"/>
      <c r="AG28" s="37"/>
    </row>
    <row r="29" spans="1:35" s="9" customFormat="1" ht="17.100000000000001" customHeight="1">
      <c r="C29" s="10"/>
      <c r="D29" s="11"/>
      <c r="E29" s="12"/>
      <c r="AG29" s="37"/>
    </row>
    <row r="30" spans="1:35" ht="17.100000000000001" customHeight="1"/>
    <row r="31" spans="1:35" ht="17.100000000000001" customHeight="1"/>
    <row r="32" spans="1:35" ht="17.100000000000001" customHeight="1"/>
    <row r="33" ht="17.100000000000001" customHeight="1"/>
    <row r="34" ht="17.100000000000001" customHeight="1"/>
    <row r="35" ht="17.100000000000001" customHeight="1"/>
    <row r="36" ht="17.100000000000001" customHeight="1"/>
    <row r="37" ht="17.100000000000001" customHeight="1"/>
    <row r="38" ht="17.100000000000001" customHeight="1"/>
    <row r="39" ht="17.100000000000001" customHeight="1"/>
    <row r="40" ht="17.100000000000001" customHeight="1"/>
    <row r="41" ht="17.100000000000001" customHeight="1"/>
    <row r="42" ht="17.100000000000001" customHeight="1"/>
    <row r="43" ht="17.100000000000001" customHeight="1"/>
    <row r="44" ht="17.100000000000001" customHeight="1"/>
    <row r="45" ht="17.100000000000001" customHeight="1"/>
    <row r="46" ht="17.100000000000001" customHeight="1"/>
    <row r="47" ht="17.100000000000001" customHeight="1"/>
    <row r="48" ht="17.100000000000001" customHeight="1"/>
    <row r="49" ht="17.100000000000001" customHeight="1"/>
    <row r="50" ht="17.100000000000001" customHeight="1"/>
    <row r="51" ht="17.100000000000001" customHeight="1"/>
    <row r="52" ht="17.100000000000001" customHeight="1"/>
    <row r="53" ht="17.100000000000001" customHeight="1"/>
    <row r="54" ht="17.100000000000001" customHeight="1"/>
    <row r="55" ht="17.100000000000001" customHeight="1"/>
    <row r="56" ht="17.100000000000001" customHeight="1"/>
    <row r="57" ht="17.100000000000001" customHeight="1"/>
    <row r="58" ht="17.100000000000001" customHeight="1"/>
    <row r="59" ht="17.100000000000001" customHeight="1"/>
    <row r="60" ht="17.100000000000001" customHeight="1"/>
    <row r="61" ht="17.100000000000001" customHeight="1"/>
    <row r="62" ht="17.100000000000001" customHeight="1"/>
    <row r="63" ht="17.100000000000001" customHeight="1"/>
    <row r="64" ht="17.100000000000001" customHeight="1"/>
    <row r="65" ht="17.100000000000001" customHeight="1"/>
    <row r="66" ht="17.100000000000001" customHeight="1"/>
    <row r="67" ht="17.100000000000001" customHeight="1"/>
    <row r="68" ht="17.100000000000001" customHeight="1"/>
    <row r="69" ht="17.100000000000001" customHeight="1"/>
    <row r="70" ht="17.100000000000001" customHeight="1"/>
    <row r="71" ht="17.100000000000001" customHeight="1"/>
    <row r="72" ht="17.100000000000001" customHeight="1"/>
    <row r="73" ht="17.100000000000001" customHeight="1"/>
    <row r="74" ht="17.100000000000001" customHeight="1"/>
    <row r="75" ht="17.100000000000001" customHeight="1"/>
    <row r="76" ht="17.100000000000001" customHeight="1"/>
    <row r="77" ht="17.100000000000001" customHeight="1"/>
    <row r="78" ht="17.100000000000001" customHeight="1"/>
    <row r="79" ht="17.100000000000001" customHeight="1"/>
    <row r="80" ht="17.100000000000001" customHeight="1"/>
    <row r="81" ht="17.100000000000001" customHeight="1"/>
    <row r="82" ht="17.100000000000001" customHeight="1"/>
    <row r="83" ht="17.100000000000001" customHeight="1"/>
    <row r="84" ht="17.100000000000001" customHeight="1"/>
    <row r="85" ht="17.100000000000001" customHeight="1"/>
    <row r="86" ht="17.100000000000001" customHeight="1"/>
    <row r="87" ht="17.100000000000001" customHeight="1"/>
    <row r="88" ht="17.100000000000001" customHeight="1"/>
    <row r="89" ht="17.100000000000001" customHeight="1"/>
    <row r="90" ht="17.100000000000001" customHeight="1"/>
    <row r="91" ht="17.100000000000001" customHeight="1"/>
    <row r="92" ht="17.100000000000001" customHeight="1"/>
    <row r="93" ht="17.100000000000001" customHeight="1"/>
    <row r="94" ht="17.100000000000001" customHeight="1"/>
  </sheetData>
  <mergeCells count="54">
    <mergeCell ref="T24:V24"/>
    <mergeCell ref="W24:Z24"/>
    <mergeCell ref="T25:V25"/>
    <mergeCell ref="O17:P17"/>
    <mergeCell ref="AB18:AC18"/>
    <mergeCell ref="N19:S19"/>
    <mergeCell ref="U19:Y19"/>
    <mergeCell ref="W23:Z23"/>
    <mergeCell ref="F20:I20"/>
    <mergeCell ref="C23:J23"/>
    <mergeCell ref="L23:M23"/>
    <mergeCell ref="O23:Q23"/>
    <mergeCell ref="T23:U23"/>
    <mergeCell ref="F15:G15"/>
    <mergeCell ref="L15:M15"/>
    <mergeCell ref="P15:X15"/>
    <mergeCell ref="H16:K16"/>
    <mergeCell ref="D18:D19"/>
    <mergeCell ref="E18:F19"/>
    <mergeCell ref="H18:H19"/>
    <mergeCell ref="J18:N18"/>
    <mergeCell ref="P18:T18"/>
    <mergeCell ref="X18:Y18"/>
    <mergeCell ref="U9:AE9"/>
    <mergeCell ref="I12:J12"/>
    <mergeCell ref="W13:X13"/>
    <mergeCell ref="F14:G14"/>
    <mergeCell ref="L14:M14"/>
    <mergeCell ref="P14:X14"/>
    <mergeCell ref="AC8:AE8"/>
    <mergeCell ref="B7:K7"/>
    <mergeCell ref="L7:N7"/>
    <mergeCell ref="O7:Q7"/>
    <mergeCell ref="R7:U7"/>
    <mergeCell ref="V7:AB7"/>
    <mergeCell ref="AC7:AE7"/>
    <mergeCell ref="B8:K8"/>
    <mergeCell ref="L8:N8"/>
    <mergeCell ref="O8:Q8"/>
    <mergeCell ref="R8:U8"/>
    <mergeCell ref="V8:AB8"/>
    <mergeCell ref="AC5:AE5"/>
    <mergeCell ref="AC6:AE6"/>
    <mergeCell ref="A1:AB1"/>
    <mergeCell ref="B4:K4"/>
    <mergeCell ref="L4:N4"/>
    <mergeCell ref="R4:U4"/>
    <mergeCell ref="V4:AB4"/>
    <mergeCell ref="AC4:AE4"/>
    <mergeCell ref="B5:K6"/>
    <mergeCell ref="L5:N6"/>
    <mergeCell ref="O5:Q6"/>
    <mergeCell ref="R5:U6"/>
    <mergeCell ref="V5:AB6"/>
  </mergeCells>
  <phoneticPr fontId="87" type="noConversion"/>
  <pageMargins left="1.2202777862548828" right="1.0234721899032593" top="0.7086111307144165" bottom="0.74777776002883911" header="0.51166665554046631" footer="0.51166665554046631"/>
  <pageSetup paperSize="9"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0000000}">
          <x14:formula1>
            <xm:f>'기초1(요율적용기준) '!$I$1:$I$3</xm:f>
          </x14:formula1>
          <xm:sqref>I12:J12</xm:sqref>
        </x14:dataValidation>
        <x14:dataValidation type="list" allowBlank="1" showInputMessage="1" showErrorMessage="1" xr:uid="{00000000-0002-0000-0900-000001000000}">
          <x14:formula1>
            <xm:f>'기초1(요율적용기준) '!$I$5:$I$16</xm:f>
          </x14:formula1>
          <xm:sqref>F14:G15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N41"/>
  <sheetViews>
    <sheetView view="pageBreakPreview" zoomScaleNormal="100" zoomScaleSheetLayoutView="100" workbookViewId="0">
      <selection activeCell="B5" sqref="B5:B16"/>
    </sheetView>
  </sheetViews>
  <sheetFormatPr defaultColWidth="8.88671875" defaultRowHeight="16.5"/>
  <cols>
    <col min="1" max="1" width="5" style="232" customWidth="1"/>
    <col min="2" max="4" width="11.5546875" style="232" customWidth="1"/>
    <col min="5" max="6" width="8.88671875" style="232"/>
    <col min="7" max="7" width="6.77734375" style="232" customWidth="1"/>
    <col min="8" max="8" width="8.88671875" style="232"/>
    <col min="9" max="14" width="0" style="232" hidden="1" customWidth="1"/>
    <col min="15" max="16384" width="8.88671875" style="232"/>
  </cols>
  <sheetData>
    <row r="1" spans="1:14" ht="27.75" customHeight="1">
      <c r="A1" s="733" t="s">
        <v>304</v>
      </c>
      <c r="B1" s="733"/>
      <c r="C1" s="733"/>
      <c r="D1" s="733"/>
      <c r="E1" s="733"/>
      <c r="F1" s="733"/>
      <c r="G1" s="733"/>
      <c r="I1" s="232" t="s">
        <v>147</v>
      </c>
    </row>
    <row r="2" spans="1:14">
      <c r="I2" s="232" t="s">
        <v>143</v>
      </c>
    </row>
    <row r="3" spans="1:14" ht="16.5" customHeight="1">
      <c r="B3" s="734" t="s">
        <v>512</v>
      </c>
      <c r="C3" s="739" t="s">
        <v>94</v>
      </c>
      <c r="D3" s="740"/>
      <c r="E3" s="741"/>
      <c r="F3" s="235" t="s">
        <v>155</v>
      </c>
      <c r="I3" s="232" t="s">
        <v>161</v>
      </c>
    </row>
    <row r="4" spans="1:14">
      <c r="B4" s="735"/>
      <c r="C4" s="236" t="s">
        <v>141</v>
      </c>
      <c r="D4" s="236" t="s">
        <v>149</v>
      </c>
      <c r="E4" s="236" t="s">
        <v>151</v>
      </c>
      <c r="F4" s="242"/>
      <c r="K4" s="232" t="s">
        <v>147</v>
      </c>
    </row>
    <row r="5" spans="1:14">
      <c r="B5" s="237" t="s">
        <v>591</v>
      </c>
      <c r="C5" s="238">
        <v>18.63</v>
      </c>
      <c r="D5" s="238">
        <v>16.940000000000001</v>
      </c>
      <c r="E5" s="238">
        <v>15.25</v>
      </c>
      <c r="F5" s="238"/>
      <c r="I5" s="232">
        <v>0.3</v>
      </c>
      <c r="J5" s="232" t="s">
        <v>147</v>
      </c>
      <c r="K5" s="238">
        <v>18.63</v>
      </c>
      <c r="M5" s="232" t="str">
        <f>I5&amp;" "&amp;J5</f>
        <v>0.3 복잡</v>
      </c>
      <c r="N5" s="238">
        <v>18.63</v>
      </c>
    </row>
    <row r="6" spans="1:14">
      <c r="B6" s="237" t="s">
        <v>604</v>
      </c>
      <c r="C6" s="238">
        <v>17.09</v>
      </c>
      <c r="D6" s="238">
        <v>15.54</v>
      </c>
      <c r="E6" s="238">
        <v>13.99</v>
      </c>
      <c r="F6" s="238"/>
      <c r="I6" s="232">
        <v>0.5</v>
      </c>
      <c r="J6" s="232" t="s">
        <v>147</v>
      </c>
      <c r="K6" s="238">
        <v>17.09</v>
      </c>
      <c r="M6" s="232" t="str">
        <f t="shared" ref="M6:M41" si="0">I6&amp;" "&amp;J6</f>
        <v>0.5 복잡</v>
      </c>
      <c r="N6" s="238">
        <v>17.09</v>
      </c>
    </row>
    <row r="7" spans="1:14">
      <c r="B7" s="237" t="s">
        <v>144</v>
      </c>
      <c r="C7" s="238">
        <v>15.2</v>
      </c>
      <c r="D7" s="238">
        <v>13.82</v>
      </c>
      <c r="E7" s="238">
        <v>12.44</v>
      </c>
      <c r="F7" s="238"/>
      <c r="I7" s="232">
        <v>1</v>
      </c>
      <c r="J7" s="232" t="s">
        <v>147</v>
      </c>
      <c r="K7" s="238">
        <v>15.2</v>
      </c>
      <c r="M7" s="232" t="str">
        <f t="shared" si="0"/>
        <v>1 복잡</v>
      </c>
      <c r="N7" s="238">
        <v>15.2</v>
      </c>
    </row>
    <row r="8" spans="1:14">
      <c r="B8" s="237" t="s">
        <v>168</v>
      </c>
      <c r="C8" s="238">
        <v>13.53</v>
      </c>
      <c r="D8" s="238">
        <v>12.3</v>
      </c>
      <c r="E8" s="238">
        <v>11.07</v>
      </c>
      <c r="F8" s="238"/>
      <c r="I8" s="232">
        <v>2</v>
      </c>
      <c r="J8" s="232" t="s">
        <v>147</v>
      </c>
      <c r="K8" s="238">
        <v>13.53</v>
      </c>
      <c r="M8" s="232" t="str">
        <f t="shared" si="0"/>
        <v>2 복잡</v>
      </c>
      <c r="N8" s="238">
        <v>13.53</v>
      </c>
    </row>
    <row r="9" spans="1:14">
      <c r="B9" s="237" t="s">
        <v>145</v>
      </c>
      <c r="C9" s="238">
        <v>12.63</v>
      </c>
      <c r="D9" s="238">
        <v>11.48</v>
      </c>
      <c r="E9" s="238">
        <v>10.33</v>
      </c>
      <c r="F9" s="238"/>
      <c r="I9" s="232">
        <v>3</v>
      </c>
      <c r="J9" s="232" t="s">
        <v>147</v>
      </c>
      <c r="K9" s="238">
        <v>12.63</v>
      </c>
      <c r="M9" s="232" t="str">
        <f t="shared" si="0"/>
        <v>3 복잡</v>
      </c>
      <c r="N9" s="238">
        <v>12.63</v>
      </c>
    </row>
    <row r="10" spans="1:14">
      <c r="B10" s="237" t="s">
        <v>153</v>
      </c>
      <c r="C10" s="238">
        <v>11.58</v>
      </c>
      <c r="D10" s="238">
        <v>10.53</v>
      </c>
      <c r="E10" s="238">
        <v>9.48</v>
      </c>
      <c r="F10" s="238"/>
      <c r="I10" s="232">
        <v>5</v>
      </c>
      <c r="J10" s="232" t="s">
        <v>147</v>
      </c>
      <c r="K10" s="238">
        <v>11.58</v>
      </c>
      <c r="M10" s="232" t="str">
        <f t="shared" si="0"/>
        <v>5 복잡</v>
      </c>
      <c r="N10" s="238">
        <v>11.58</v>
      </c>
    </row>
    <row r="11" spans="1:14">
      <c r="B11" s="237" t="s">
        <v>614</v>
      </c>
      <c r="C11" s="238">
        <v>10.31</v>
      </c>
      <c r="D11" s="238">
        <v>9.3699999999999992</v>
      </c>
      <c r="E11" s="238">
        <v>8.43</v>
      </c>
      <c r="F11" s="238"/>
      <c r="I11" s="232">
        <v>10</v>
      </c>
      <c r="J11" s="232" t="s">
        <v>147</v>
      </c>
      <c r="K11" s="238">
        <v>10.31</v>
      </c>
      <c r="M11" s="232" t="str">
        <f t="shared" si="0"/>
        <v>10 복잡</v>
      </c>
      <c r="N11" s="238">
        <v>10.31</v>
      </c>
    </row>
    <row r="12" spans="1:14">
      <c r="B12" s="237" t="s">
        <v>594</v>
      </c>
      <c r="C12" s="238">
        <v>9.16</v>
      </c>
      <c r="D12" s="238">
        <v>8.33</v>
      </c>
      <c r="E12" s="238">
        <v>7.5</v>
      </c>
      <c r="F12" s="238"/>
      <c r="I12" s="232">
        <v>20</v>
      </c>
      <c r="J12" s="232" t="s">
        <v>147</v>
      </c>
      <c r="K12" s="238">
        <v>9.16</v>
      </c>
      <c r="M12" s="232" t="str">
        <f t="shared" si="0"/>
        <v>20 복잡</v>
      </c>
      <c r="N12" s="238">
        <v>9.16</v>
      </c>
    </row>
    <row r="13" spans="1:14">
      <c r="B13" s="237" t="s">
        <v>644</v>
      </c>
      <c r="C13" s="238">
        <v>8.56</v>
      </c>
      <c r="D13" s="238">
        <v>7.78</v>
      </c>
      <c r="E13" s="238">
        <v>7</v>
      </c>
      <c r="F13" s="238"/>
      <c r="I13" s="232">
        <v>30</v>
      </c>
      <c r="J13" s="232" t="s">
        <v>147</v>
      </c>
      <c r="K13" s="238">
        <v>8.56</v>
      </c>
      <c r="M13" s="232" t="str">
        <f t="shared" si="0"/>
        <v>30 복잡</v>
      </c>
      <c r="N13" s="238">
        <v>8.56</v>
      </c>
    </row>
    <row r="14" spans="1:14">
      <c r="B14" s="237" t="s">
        <v>634</v>
      </c>
      <c r="C14" s="238">
        <v>7.85</v>
      </c>
      <c r="D14" s="238">
        <v>7.14</v>
      </c>
      <c r="E14" s="238">
        <v>6.43</v>
      </c>
      <c r="F14" s="238"/>
      <c r="I14" s="232">
        <v>50</v>
      </c>
      <c r="J14" s="232" t="s">
        <v>147</v>
      </c>
      <c r="K14" s="238">
        <v>7.85</v>
      </c>
      <c r="M14" s="232" t="str">
        <f t="shared" si="0"/>
        <v>50 복잡</v>
      </c>
      <c r="N14" s="238">
        <v>7.85</v>
      </c>
    </row>
    <row r="15" spans="1:14" ht="16.5" customHeight="1">
      <c r="B15" s="237" t="s">
        <v>625</v>
      </c>
      <c r="C15" s="238">
        <v>6.99</v>
      </c>
      <c r="D15" s="238">
        <v>6.35</v>
      </c>
      <c r="E15" s="238">
        <v>5.72</v>
      </c>
      <c r="F15" s="238"/>
      <c r="I15" s="232">
        <v>100</v>
      </c>
      <c r="J15" s="232" t="s">
        <v>147</v>
      </c>
      <c r="K15" s="238">
        <v>6.99</v>
      </c>
      <c r="M15" s="232" t="str">
        <f t="shared" si="0"/>
        <v>100 복잡</v>
      </c>
      <c r="N15" s="238">
        <v>6.99</v>
      </c>
    </row>
    <row r="16" spans="1:14" ht="16.5" customHeight="1">
      <c r="B16" s="237" t="s">
        <v>595</v>
      </c>
      <c r="C16" s="238">
        <v>6.22</v>
      </c>
      <c r="D16" s="238">
        <v>5.65</v>
      </c>
      <c r="E16" s="238">
        <v>5.09</v>
      </c>
      <c r="F16" s="238"/>
      <c r="I16" s="232">
        <v>200</v>
      </c>
      <c r="J16" s="232" t="s">
        <v>147</v>
      </c>
      <c r="K16" s="238">
        <v>6.22</v>
      </c>
      <c r="M16" s="232" t="str">
        <f t="shared" si="0"/>
        <v>200 복잡</v>
      </c>
      <c r="N16" s="238">
        <v>6.22</v>
      </c>
    </row>
    <row r="17" spans="1:14" ht="16.5" customHeight="1">
      <c r="B17" s="736" t="s">
        <v>464</v>
      </c>
      <c r="C17" s="742" t="s">
        <v>804</v>
      </c>
      <c r="D17" s="743"/>
      <c r="E17" s="744"/>
      <c r="F17" s="239"/>
      <c r="I17" s="232">
        <v>0.3</v>
      </c>
      <c r="J17" s="232" t="s">
        <v>143</v>
      </c>
      <c r="K17" s="238">
        <v>16.940000000000001</v>
      </c>
      <c r="M17" s="232" t="str">
        <f t="shared" si="0"/>
        <v>0.3 보통</v>
      </c>
      <c r="N17" s="238">
        <v>16.940000000000001</v>
      </c>
    </row>
    <row r="18" spans="1:14" ht="16.5" customHeight="1">
      <c r="B18" s="737"/>
      <c r="C18" s="745" t="s">
        <v>305</v>
      </c>
      <c r="D18" s="746"/>
      <c r="E18" s="747"/>
      <c r="F18" s="240"/>
      <c r="I18" s="232">
        <v>0.5</v>
      </c>
      <c r="J18" s="232" t="s">
        <v>143</v>
      </c>
      <c r="K18" s="238">
        <v>15.54</v>
      </c>
      <c r="M18" s="232" t="str">
        <f t="shared" si="0"/>
        <v>0.5 보통</v>
      </c>
      <c r="N18" s="238">
        <v>15.54</v>
      </c>
    </row>
    <row r="19" spans="1:14" ht="16.5" customHeight="1">
      <c r="B19" s="738"/>
      <c r="C19" s="748" t="s">
        <v>788</v>
      </c>
      <c r="D19" s="749"/>
      <c r="E19" s="750"/>
      <c r="F19" s="241"/>
      <c r="I19" s="232">
        <v>1</v>
      </c>
      <c r="J19" s="232" t="s">
        <v>143</v>
      </c>
      <c r="K19" s="238">
        <v>13.82</v>
      </c>
      <c r="M19" s="232" t="str">
        <f t="shared" si="0"/>
        <v>1 보통</v>
      </c>
      <c r="N19" s="238">
        <v>13.82</v>
      </c>
    </row>
    <row r="20" spans="1:14" ht="16.5" customHeight="1">
      <c r="A20" s="243"/>
      <c r="B20" s="243"/>
      <c r="C20" s="243"/>
      <c r="D20" s="243"/>
      <c r="E20" s="243"/>
      <c r="F20" s="243"/>
      <c r="I20" s="232">
        <v>2</v>
      </c>
      <c r="J20" s="232" t="s">
        <v>143</v>
      </c>
      <c r="K20" s="238">
        <v>12.3</v>
      </c>
      <c r="M20" s="232" t="str">
        <f t="shared" si="0"/>
        <v>2 보통</v>
      </c>
      <c r="N20" s="238">
        <v>12.3</v>
      </c>
    </row>
    <row r="21" spans="1:14">
      <c r="A21" s="732" t="s">
        <v>356</v>
      </c>
      <c r="B21" s="732"/>
      <c r="C21" s="732"/>
      <c r="D21" s="732"/>
      <c r="E21" s="732"/>
      <c r="F21" s="732"/>
      <c r="I21" s="232">
        <v>3</v>
      </c>
      <c r="J21" s="232" t="s">
        <v>143</v>
      </c>
      <c r="K21" s="238">
        <v>11.48</v>
      </c>
      <c r="M21" s="232" t="str">
        <f t="shared" si="0"/>
        <v>3 보통</v>
      </c>
      <c r="N21" s="238">
        <v>11.48</v>
      </c>
    </row>
    <row r="22" spans="1:14" ht="30" customHeight="1">
      <c r="A22" s="732" t="s">
        <v>330</v>
      </c>
      <c r="B22" s="732"/>
      <c r="C22" s="732"/>
      <c r="D22" s="732"/>
      <c r="E22" s="732"/>
      <c r="F22" s="732"/>
      <c r="G22" s="732"/>
      <c r="I22" s="232">
        <v>5</v>
      </c>
      <c r="J22" s="232" t="s">
        <v>143</v>
      </c>
      <c r="K22" s="238">
        <v>10.53</v>
      </c>
      <c r="M22" s="232" t="str">
        <f t="shared" si="0"/>
        <v>5 보통</v>
      </c>
      <c r="N22" s="238">
        <v>10.53</v>
      </c>
    </row>
    <row r="23" spans="1:14" ht="27.75" customHeight="1">
      <c r="A23" s="732" t="s">
        <v>315</v>
      </c>
      <c r="B23" s="732"/>
      <c r="C23" s="732"/>
      <c r="D23" s="732"/>
      <c r="E23" s="732"/>
      <c r="F23" s="732"/>
      <c r="G23" s="732"/>
      <c r="I23" s="232">
        <v>10</v>
      </c>
      <c r="J23" s="232" t="s">
        <v>143</v>
      </c>
      <c r="K23" s="238">
        <v>9.3699999999999992</v>
      </c>
      <c r="M23" s="232" t="str">
        <f t="shared" si="0"/>
        <v>10 보통</v>
      </c>
      <c r="N23" s="238">
        <v>9.3699999999999992</v>
      </c>
    </row>
    <row r="24" spans="1:14">
      <c r="A24" s="732" t="s">
        <v>4</v>
      </c>
      <c r="B24" s="732"/>
      <c r="C24" s="732"/>
      <c r="D24" s="732"/>
      <c r="E24" s="732"/>
      <c r="F24" s="732"/>
      <c r="G24" s="233"/>
      <c r="I24" s="232">
        <v>20</v>
      </c>
      <c r="J24" s="232" t="s">
        <v>143</v>
      </c>
      <c r="K24" s="238">
        <v>8.33</v>
      </c>
      <c r="M24" s="232" t="str">
        <f t="shared" si="0"/>
        <v>20 보통</v>
      </c>
      <c r="N24" s="238">
        <v>8.33</v>
      </c>
    </row>
    <row r="25" spans="1:14" ht="30.75" customHeight="1">
      <c r="A25" s="732" t="s">
        <v>274</v>
      </c>
      <c r="B25" s="732"/>
      <c r="C25" s="732"/>
      <c r="D25" s="732"/>
      <c r="E25" s="732"/>
      <c r="F25" s="732"/>
      <c r="G25" s="732"/>
      <c r="I25" s="232">
        <v>30</v>
      </c>
      <c r="J25" s="232" t="s">
        <v>143</v>
      </c>
      <c r="K25" s="238">
        <v>7.78</v>
      </c>
      <c r="M25" s="232" t="str">
        <f t="shared" si="0"/>
        <v>30 보통</v>
      </c>
      <c r="N25" s="238">
        <v>7.78</v>
      </c>
    </row>
    <row r="26" spans="1:14" ht="27" customHeight="1">
      <c r="A26" s="732" t="s">
        <v>250</v>
      </c>
      <c r="B26" s="732"/>
      <c r="C26" s="732"/>
      <c r="D26" s="732"/>
      <c r="E26" s="732"/>
      <c r="F26" s="732"/>
      <c r="G26" s="732"/>
      <c r="I26" s="232">
        <v>50</v>
      </c>
      <c r="J26" s="232" t="s">
        <v>143</v>
      </c>
      <c r="K26" s="238">
        <v>7.14</v>
      </c>
      <c r="M26" s="232" t="str">
        <f t="shared" si="0"/>
        <v>50 보통</v>
      </c>
      <c r="N26" s="238">
        <v>7.14</v>
      </c>
    </row>
    <row r="27" spans="1:14" ht="27" customHeight="1">
      <c r="A27" s="244"/>
      <c r="B27" s="244"/>
      <c r="C27" s="244"/>
      <c r="D27" s="244"/>
      <c r="E27" s="244"/>
      <c r="F27" s="244"/>
      <c r="I27" s="232">
        <v>100</v>
      </c>
      <c r="J27" s="232" t="s">
        <v>143</v>
      </c>
      <c r="K27" s="238">
        <v>6.35</v>
      </c>
      <c r="M27" s="232" t="str">
        <f t="shared" si="0"/>
        <v>100 보통</v>
      </c>
      <c r="N27" s="238">
        <v>6.35</v>
      </c>
    </row>
    <row r="28" spans="1:14">
      <c r="A28" s="232" t="s">
        <v>617</v>
      </c>
      <c r="I28" s="232">
        <v>200</v>
      </c>
      <c r="J28" s="232" t="s">
        <v>143</v>
      </c>
      <c r="K28" s="238">
        <v>5.65</v>
      </c>
      <c r="M28" s="232" t="str">
        <f t="shared" si="0"/>
        <v>200 보통</v>
      </c>
      <c r="N28" s="238">
        <v>5.65</v>
      </c>
    </row>
    <row r="29" spans="1:14" ht="27.75" customHeight="1">
      <c r="A29" s="245" t="s">
        <v>154</v>
      </c>
      <c r="B29" s="753" t="s">
        <v>467</v>
      </c>
      <c r="C29" s="754"/>
      <c r="D29" s="753" t="s">
        <v>640</v>
      </c>
      <c r="E29" s="754"/>
      <c r="F29" s="753" t="s">
        <v>155</v>
      </c>
      <c r="G29" s="755"/>
      <c r="I29" s="232">
        <v>0.3</v>
      </c>
      <c r="J29" s="232" t="s">
        <v>161</v>
      </c>
      <c r="K29" s="238">
        <v>15.25</v>
      </c>
      <c r="M29" s="232" t="str">
        <f t="shared" si="0"/>
        <v>0.3 단순</v>
      </c>
      <c r="N29" s="238">
        <v>15.25</v>
      </c>
    </row>
    <row r="30" spans="1:14" ht="282" customHeight="1">
      <c r="A30" s="246" t="s">
        <v>161</v>
      </c>
      <c r="B30" s="758"/>
      <c r="C30" s="759"/>
      <c r="D30" s="758" t="s">
        <v>308</v>
      </c>
      <c r="E30" s="759"/>
      <c r="F30" s="760"/>
      <c r="G30" s="761"/>
      <c r="I30" s="232">
        <v>0.5</v>
      </c>
      <c r="J30" s="232" t="s">
        <v>161</v>
      </c>
      <c r="K30" s="238">
        <v>13.99</v>
      </c>
      <c r="M30" s="232" t="str">
        <f t="shared" si="0"/>
        <v>0.5 단순</v>
      </c>
      <c r="N30" s="238">
        <v>13.99</v>
      </c>
    </row>
    <row r="31" spans="1:14" ht="358.5" customHeight="1">
      <c r="A31" s="246" t="s">
        <v>143</v>
      </c>
      <c r="B31" s="730" t="s">
        <v>345</v>
      </c>
      <c r="C31" s="731"/>
      <c r="D31" s="730" t="s">
        <v>309</v>
      </c>
      <c r="E31" s="731"/>
      <c r="F31" s="751"/>
      <c r="G31" s="752"/>
      <c r="I31" s="232">
        <v>1</v>
      </c>
      <c r="J31" s="232" t="s">
        <v>161</v>
      </c>
      <c r="K31" s="238">
        <v>12.44</v>
      </c>
      <c r="M31" s="232" t="str">
        <f t="shared" si="0"/>
        <v>1 단순</v>
      </c>
      <c r="N31" s="238">
        <v>12.44</v>
      </c>
    </row>
    <row r="32" spans="1:14" ht="27.75" customHeight="1">
      <c r="A32" s="245" t="s">
        <v>154</v>
      </c>
      <c r="B32" s="753" t="s">
        <v>467</v>
      </c>
      <c r="C32" s="754"/>
      <c r="D32" s="753" t="s">
        <v>640</v>
      </c>
      <c r="E32" s="754"/>
      <c r="F32" s="753" t="s">
        <v>155</v>
      </c>
      <c r="G32" s="755"/>
      <c r="I32" s="232">
        <v>0.3</v>
      </c>
      <c r="J32" s="232" t="s">
        <v>161</v>
      </c>
      <c r="K32" s="238">
        <v>15.25</v>
      </c>
      <c r="M32" s="232" t="str">
        <f>I32&amp;" "&amp;J32</f>
        <v>0.3 단순</v>
      </c>
      <c r="N32" s="238">
        <v>15.25</v>
      </c>
    </row>
    <row r="33" spans="1:14" ht="312.75" customHeight="1">
      <c r="A33" s="246" t="s">
        <v>147</v>
      </c>
      <c r="B33" s="730" t="s">
        <v>81</v>
      </c>
      <c r="C33" s="731"/>
      <c r="D33" s="730" t="s">
        <v>376</v>
      </c>
      <c r="E33" s="731"/>
      <c r="F33" s="751"/>
      <c r="G33" s="752"/>
      <c r="I33" s="232">
        <v>2</v>
      </c>
      <c r="J33" s="232" t="s">
        <v>161</v>
      </c>
      <c r="K33" s="238">
        <v>11.07</v>
      </c>
      <c r="M33" s="232" t="str">
        <f t="shared" si="0"/>
        <v>2 단순</v>
      </c>
      <c r="N33" s="238">
        <v>11.07</v>
      </c>
    </row>
    <row r="34" spans="1:14" ht="27" customHeight="1">
      <c r="A34" s="756" t="s">
        <v>236</v>
      </c>
      <c r="B34" s="756"/>
      <c r="C34" s="756"/>
      <c r="D34" s="756"/>
      <c r="E34" s="756"/>
      <c r="F34" s="756"/>
      <c r="G34" s="756"/>
      <c r="I34" s="232">
        <v>3</v>
      </c>
      <c r="J34" s="232" t="s">
        <v>161</v>
      </c>
      <c r="K34" s="238">
        <v>10.33</v>
      </c>
      <c r="M34" s="232" t="str">
        <f t="shared" si="0"/>
        <v>3 단순</v>
      </c>
      <c r="N34" s="238">
        <v>10.33</v>
      </c>
    </row>
    <row r="35" spans="1:14" ht="27" customHeight="1">
      <c r="A35" s="757" t="s">
        <v>256</v>
      </c>
      <c r="B35" s="757"/>
      <c r="C35" s="757"/>
      <c r="D35" s="757"/>
      <c r="E35" s="757"/>
      <c r="F35" s="757"/>
      <c r="G35" s="757"/>
      <c r="I35" s="232">
        <v>5</v>
      </c>
      <c r="J35" s="232" t="s">
        <v>161</v>
      </c>
      <c r="K35" s="238">
        <v>9.48</v>
      </c>
      <c r="M35" s="232" t="str">
        <f t="shared" si="0"/>
        <v>5 단순</v>
      </c>
      <c r="N35" s="238">
        <v>9.48</v>
      </c>
    </row>
    <row r="36" spans="1:14" ht="54" customHeight="1">
      <c r="A36" s="757" t="s">
        <v>1</v>
      </c>
      <c r="B36" s="757"/>
      <c r="C36" s="757"/>
      <c r="D36" s="757"/>
      <c r="E36" s="757"/>
      <c r="F36" s="757"/>
      <c r="G36" s="757"/>
      <c r="I36" s="232">
        <v>10</v>
      </c>
      <c r="J36" s="232" t="s">
        <v>161</v>
      </c>
      <c r="K36" s="238">
        <v>8.43</v>
      </c>
      <c r="M36" s="232" t="str">
        <f t="shared" si="0"/>
        <v>10 단순</v>
      </c>
      <c r="N36" s="238">
        <v>8.43</v>
      </c>
    </row>
    <row r="37" spans="1:14">
      <c r="I37" s="232">
        <v>20</v>
      </c>
      <c r="J37" s="232" t="s">
        <v>161</v>
      </c>
      <c r="K37" s="238">
        <v>7.5</v>
      </c>
      <c r="M37" s="232" t="str">
        <f t="shared" si="0"/>
        <v>20 단순</v>
      </c>
      <c r="N37" s="238">
        <v>7.5</v>
      </c>
    </row>
    <row r="38" spans="1:14">
      <c r="I38" s="232">
        <v>30</v>
      </c>
      <c r="J38" s="232" t="s">
        <v>161</v>
      </c>
      <c r="K38" s="238">
        <v>7</v>
      </c>
      <c r="M38" s="232" t="str">
        <f t="shared" si="0"/>
        <v>30 단순</v>
      </c>
      <c r="N38" s="238">
        <v>7</v>
      </c>
    </row>
    <row r="39" spans="1:14">
      <c r="I39" s="232">
        <v>50</v>
      </c>
      <c r="J39" s="232" t="s">
        <v>161</v>
      </c>
      <c r="K39" s="238">
        <v>6.43</v>
      </c>
      <c r="M39" s="232" t="str">
        <f t="shared" si="0"/>
        <v>50 단순</v>
      </c>
      <c r="N39" s="238">
        <v>6.43</v>
      </c>
    </row>
    <row r="40" spans="1:14">
      <c r="I40" s="232">
        <v>100</v>
      </c>
      <c r="J40" s="232" t="s">
        <v>161</v>
      </c>
      <c r="K40" s="238">
        <v>5.72</v>
      </c>
      <c r="M40" s="232" t="str">
        <f t="shared" si="0"/>
        <v>100 단순</v>
      </c>
      <c r="N40" s="238">
        <v>5.72</v>
      </c>
    </row>
    <row r="41" spans="1:14">
      <c r="I41" s="232">
        <v>200</v>
      </c>
      <c r="J41" s="232" t="s">
        <v>161</v>
      </c>
      <c r="K41" s="238">
        <v>5.09</v>
      </c>
      <c r="M41" s="232" t="str">
        <f t="shared" si="0"/>
        <v>200 단순</v>
      </c>
      <c r="N41" s="238">
        <v>5.09</v>
      </c>
    </row>
  </sheetData>
  <mergeCells count="31">
    <mergeCell ref="A34:G34"/>
    <mergeCell ref="A35:G35"/>
    <mergeCell ref="A36:G36"/>
    <mergeCell ref="A22:G22"/>
    <mergeCell ref="A23:G23"/>
    <mergeCell ref="A25:G25"/>
    <mergeCell ref="A26:G26"/>
    <mergeCell ref="F29:G29"/>
    <mergeCell ref="B30:C30"/>
    <mergeCell ref="D30:E30"/>
    <mergeCell ref="F30:G30"/>
    <mergeCell ref="B31:C31"/>
    <mergeCell ref="D31:E31"/>
    <mergeCell ref="F31:G31"/>
    <mergeCell ref="B29:C29"/>
    <mergeCell ref="D29:E29"/>
    <mergeCell ref="B33:C33"/>
    <mergeCell ref="D33:E33"/>
    <mergeCell ref="A24:F24"/>
    <mergeCell ref="A1:G1"/>
    <mergeCell ref="B3:B4"/>
    <mergeCell ref="B17:B19"/>
    <mergeCell ref="C3:E3"/>
    <mergeCell ref="C17:E17"/>
    <mergeCell ref="C18:E18"/>
    <mergeCell ref="C19:E19"/>
    <mergeCell ref="A21:F21"/>
    <mergeCell ref="F33:G33"/>
    <mergeCell ref="B32:C32"/>
    <mergeCell ref="D32:E32"/>
    <mergeCell ref="F32:G32"/>
  </mergeCells>
  <phoneticPr fontId="87" type="noConversion"/>
  <pageMargins left="0.69986110925674438" right="0.69986110925674438" top="0.75" bottom="0.75" header="0.30000001192092896" footer="0.30000001192092896"/>
  <pageSetup paperSize="9" orientation="portrait" r:id="rId1"/>
  <rowBreaks count="2" manualBreakCount="2">
    <brk id="27" max="1048575" man="1"/>
    <brk id="31" max="1048575"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6C709-7CE4-44D3-B4A2-5E4E8761F56B}">
  <sheetPr codeName="Sheet12"/>
  <dimension ref="B1:Y20"/>
  <sheetViews>
    <sheetView view="pageBreakPreview" zoomScaleNormal="100" zoomScaleSheetLayoutView="100" workbookViewId="0">
      <selection activeCell="M5" sqref="M5"/>
    </sheetView>
  </sheetViews>
  <sheetFormatPr defaultColWidth="4.44140625" defaultRowHeight="25.15" customHeight="1"/>
  <cols>
    <col min="1" max="3" width="4.44140625" style="353"/>
    <col min="4" max="4" width="5.44140625" style="353" customWidth="1"/>
    <col min="5" max="5" width="3.109375" style="353" customWidth="1"/>
    <col min="6" max="6" width="4.44140625" style="353"/>
    <col min="7" max="7" width="5.5546875" style="353" customWidth="1"/>
    <col min="8" max="8" width="8.21875" style="353" customWidth="1"/>
    <col min="9" max="9" width="8.109375" style="353" customWidth="1"/>
    <col min="10" max="10" width="12.5546875" style="353" customWidth="1"/>
    <col min="11" max="11" width="4.44140625" style="353"/>
    <col min="12" max="12" width="9.21875" style="353" bestFit="1" customWidth="1"/>
    <col min="13" max="13" width="23.109375" style="353" customWidth="1"/>
    <col min="14" max="14" width="29" style="353" customWidth="1"/>
    <col min="15" max="15" width="21.5546875" style="353" customWidth="1"/>
    <col min="16" max="16" width="10.21875" style="353" bestFit="1" customWidth="1"/>
    <col min="17" max="18" width="4.44140625" style="353"/>
    <col min="19" max="19" width="10.21875" style="353" bestFit="1" customWidth="1"/>
    <col min="20" max="16384" width="4.44140625" style="353"/>
  </cols>
  <sheetData>
    <row r="1" spans="2:25" ht="60" customHeight="1">
      <c r="B1" s="768" t="s">
        <v>868</v>
      </c>
      <c r="C1" s="768"/>
      <c r="D1" s="768"/>
      <c r="E1" s="768"/>
      <c r="F1" s="768"/>
      <c r="G1" s="768"/>
      <c r="H1" s="768"/>
      <c r="I1" s="768"/>
      <c r="J1" s="768"/>
      <c r="K1" s="352"/>
    </row>
    <row r="2" spans="2:25" s="352" customFormat="1" ht="25.35" customHeight="1">
      <c r="B2" s="354" t="s">
        <v>869</v>
      </c>
      <c r="C2" s="355"/>
      <c r="D2" s="356"/>
      <c r="E2" s="355"/>
      <c r="F2" s="357"/>
      <c r="G2" s="358"/>
      <c r="H2" s="359"/>
      <c r="I2" s="355"/>
      <c r="J2" s="358"/>
      <c r="P2" s="767" t="s">
        <v>659</v>
      </c>
      <c r="Q2" s="763"/>
      <c r="R2" s="762" t="s">
        <v>433</v>
      </c>
      <c r="S2" s="763"/>
      <c r="T2" s="762" t="s">
        <v>56</v>
      </c>
      <c r="U2" s="763"/>
      <c r="V2" s="762" t="s">
        <v>66</v>
      </c>
      <c r="W2" s="763"/>
      <c r="X2" s="762" t="s">
        <v>51</v>
      </c>
      <c r="Y2" s="763"/>
    </row>
    <row r="3" spans="2:25" s="352" customFormat="1" ht="25.35" customHeight="1">
      <c r="B3" s="354" t="s">
        <v>870</v>
      </c>
      <c r="C3" s="355"/>
      <c r="D3" s="355"/>
      <c r="E3" s="355" t="s">
        <v>871</v>
      </c>
      <c r="F3" s="769">
        <f>설계용역내역서!G6</f>
        <v>8545000</v>
      </c>
      <c r="G3" s="769"/>
      <c r="H3" s="769"/>
      <c r="I3" s="360" t="s">
        <v>872</v>
      </c>
      <c r="J3" s="355"/>
      <c r="M3" s="453" t="s">
        <v>932</v>
      </c>
      <c r="P3" s="454" t="s">
        <v>928</v>
      </c>
    </row>
    <row r="4" spans="2:25" s="352" customFormat="1" ht="25.35" customHeight="1">
      <c r="B4" s="354" t="s">
        <v>873</v>
      </c>
      <c r="C4" s="355"/>
      <c r="D4" s="355"/>
      <c r="E4" s="355" t="s">
        <v>871</v>
      </c>
      <c r="F4" s="361" t="s">
        <v>874</v>
      </c>
      <c r="G4" s="362"/>
      <c r="H4" s="355"/>
      <c r="I4" s="355"/>
      <c r="J4" s="355"/>
    </row>
    <row r="5" spans="2:25" s="352" customFormat="1" ht="25.35" customHeight="1">
      <c r="B5" s="354" t="s">
        <v>875</v>
      </c>
      <c r="C5" s="355"/>
      <c r="D5" s="355"/>
      <c r="E5" s="355" t="s">
        <v>871</v>
      </c>
      <c r="F5" s="361" t="s">
        <v>876</v>
      </c>
      <c r="G5" s="362"/>
      <c r="H5" s="355"/>
      <c r="I5" s="355"/>
      <c r="J5" s="355"/>
      <c r="O5" s="453" t="s">
        <v>930</v>
      </c>
    </row>
    <row r="6" spans="2:25" s="352" customFormat="1" ht="25.35" customHeight="1">
      <c r="B6" s="354" t="s">
        <v>877</v>
      </c>
      <c r="C6" s="355"/>
      <c r="D6" s="355"/>
      <c r="E6" s="355" t="s">
        <v>871</v>
      </c>
      <c r="F6" s="363" t="str">
        <f>N6&amp;", 표준공사기간 "&amp;IF(N8=0,"이내","초과")</f>
        <v>관람집회시설공사, 표준공사기간 이내</v>
      </c>
      <c r="G6" s="355"/>
      <c r="H6" s="355"/>
      <c r="I6" s="355"/>
      <c r="J6" s="355"/>
      <c r="M6" s="383" t="s">
        <v>889</v>
      </c>
      <c r="N6" s="384" t="str">
        <f>VLOOKUP("공사종류(보험)",data!$A$1:$B$270,2,0)</f>
        <v>관람집회시설공사</v>
      </c>
      <c r="O6" s="385"/>
    </row>
    <row r="7" spans="2:25" s="352" customFormat="1" ht="25.35" customHeight="1" thickBot="1">
      <c r="B7" s="354"/>
      <c r="C7" s="770" t="s">
        <v>878</v>
      </c>
      <c r="D7" s="771"/>
      <c r="E7" s="771"/>
      <c r="F7" s="771"/>
      <c r="G7" s="463" t="s">
        <v>879</v>
      </c>
      <c r="H7" s="463" t="s">
        <v>880</v>
      </c>
      <c r="I7" s="463" t="s">
        <v>881</v>
      </c>
      <c r="J7" s="464" t="s">
        <v>882</v>
      </c>
      <c r="M7" s="383" t="s">
        <v>923</v>
      </c>
      <c r="N7" s="386">
        <f>VLOOKUP(M7,data!$A$1:$B$270,2,0)</f>
        <v>60</v>
      </c>
      <c r="O7" s="462" t="s">
        <v>929</v>
      </c>
    </row>
    <row r="8" spans="2:25" s="352" customFormat="1" ht="25.35" customHeight="1" thickTop="1">
      <c r="B8" s="354"/>
      <c r="C8" s="772" t="str">
        <f>VLOOKUP(IF(AND($N$9=$N$10,$N$9=5),2,O10),'기초2(손해배상공제요율)'!Q4:R8,2)</f>
        <v>5억원이하</v>
      </c>
      <c r="D8" s="773"/>
      <c r="E8" s="773"/>
      <c r="F8" s="773"/>
      <c r="G8" s="465" t="s">
        <v>883</v>
      </c>
      <c r="H8" s="466">
        <f>N11</f>
        <v>0.432</v>
      </c>
      <c r="I8" s="466">
        <f>N12</f>
        <v>6.9000000000000006E-2</v>
      </c>
      <c r="J8" s="467" t="str">
        <f>N13&amp;"년"</f>
        <v>3년</v>
      </c>
      <c r="M8" s="385" t="s">
        <v>924</v>
      </c>
      <c r="N8" s="385">
        <f>IF((VLOOKUP(N6,('기초2(손해배상공제요율)'!$W$6:$AW$31),12))*365&gt;=N7,0,N7-(VLOOKUP(N6,'기초2(손해배상공제요율)'!$W$6:$AW$31,12)*365))</f>
        <v>0</v>
      </c>
      <c r="O8" s="385"/>
    </row>
    <row r="9" spans="2:25" s="352" customFormat="1" ht="25.35" customHeight="1">
      <c r="B9" s="354"/>
      <c r="C9" s="364"/>
      <c r="D9" s="365"/>
      <c r="E9" s="366"/>
      <c r="F9" s="365"/>
      <c r="G9" s="367"/>
      <c r="H9" s="355"/>
      <c r="I9" s="355"/>
      <c r="J9" s="355"/>
      <c r="M9" s="385" t="s">
        <v>926</v>
      </c>
      <c r="N9" s="386">
        <f>LOOKUP($F$3,$P$9:$P$14,$Q$9:$Q$14)</f>
        <v>5</v>
      </c>
      <c r="O9" s="385">
        <f>IF(AND($N$9=$N$10),2,LOOKUP($N$9,$V$9:$V$13,$W$9:$W$13))</f>
        <v>2</v>
      </c>
      <c r="P9" s="448">
        <v>0</v>
      </c>
      <c r="Q9" s="449">
        <v>5</v>
      </c>
      <c r="R9" s="448"/>
      <c r="S9" s="448">
        <v>0</v>
      </c>
      <c r="T9" s="449">
        <v>5</v>
      </c>
      <c r="V9" s="449">
        <v>5</v>
      </c>
      <c r="W9" s="352">
        <v>4</v>
      </c>
    </row>
    <row r="10" spans="2:25" s="352" customFormat="1" ht="25.35" customHeight="1">
      <c r="B10" s="354"/>
      <c r="C10" s="364"/>
      <c r="D10" s="365"/>
      <c r="E10" s="366"/>
      <c r="F10" s="365"/>
      <c r="G10" s="367"/>
      <c r="H10" s="355"/>
      <c r="I10" s="355"/>
      <c r="J10" s="355"/>
      <c r="M10" s="385" t="s">
        <v>927</v>
      </c>
      <c r="N10" s="385">
        <f>LOOKUP($F$3,$S$9:$S$14,$T$9:$T$14)</f>
        <v>5</v>
      </c>
      <c r="O10" s="385">
        <f>IF(AND($N$9=$N$10),2,LOOKUP($N$9,$V$9:$V$13,$W$9:$W$13))</f>
        <v>2</v>
      </c>
      <c r="P10" s="457">
        <v>500000000</v>
      </c>
      <c r="Q10" s="449">
        <v>5</v>
      </c>
      <c r="R10" s="450"/>
      <c r="S10" s="449">
        <v>500000000</v>
      </c>
      <c r="T10" s="449">
        <v>10</v>
      </c>
      <c r="V10" s="449">
        <v>10</v>
      </c>
      <c r="W10" s="352">
        <v>6</v>
      </c>
    </row>
    <row r="11" spans="2:25" s="352" customFormat="1" ht="25.35" customHeight="1">
      <c r="B11" s="354"/>
      <c r="C11" s="364"/>
      <c r="D11" s="365"/>
      <c r="E11" s="366"/>
      <c r="F11" s="365"/>
      <c r="G11" s="367"/>
      <c r="H11" s="355"/>
      <c r="I11" s="355"/>
      <c r="J11" s="355"/>
      <c r="M11" s="385" t="s">
        <v>880</v>
      </c>
      <c r="N11" s="458">
        <f>VLOOKUP($N$6,'기초2(손해배상공제요율)'!$W$6:$AW$31,O9)</f>
        <v>0.432</v>
      </c>
      <c r="O11" s="385"/>
      <c r="P11" s="457">
        <v>1000000000</v>
      </c>
      <c r="Q11" s="449">
        <v>10</v>
      </c>
      <c r="R11" s="450"/>
      <c r="S11" s="449">
        <v>1000000000</v>
      </c>
      <c r="T11" s="449">
        <v>20</v>
      </c>
      <c r="V11" s="449">
        <v>20</v>
      </c>
      <c r="W11" s="352">
        <v>8</v>
      </c>
    </row>
    <row r="12" spans="2:25" s="352" customFormat="1" ht="25.35" customHeight="1">
      <c r="B12" s="354" t="s">
        <v>931</v>
      </c>
      <c r="C12" s="364"/>
      <c r="D12" s="365"/>
      <c r="E12" s="368" t="s">
        <v>871</v>
      </c>
      <c r="F12" s="468" t="str">
        <f>VLOOKUP(M7,data!$A$1:$B$270,2,0)&amp;"일 ("&amp;TEXT(VLOOKUP(M7,data!$A$1:$B$270,2,0)/30/12,"#,##0.00")&amp;"년)"</f>
        <v>60일 (0.17년)</v>
      </c>
      <c r="G12" s="355"/>
      <c r="H12" s="355"/>
      <c r="I12" s="355"/>
      <c r="J12" s="355"/>
      <c r="M12" s="385" t="s">
        <v>881</v>
      </c>
      <c r="N12" s="458">
        <f>VLOOKUP($N$6,'기초2(손해배상공제요율)'!$W$6:$AW$31,O9+1)</f>
        <v>6.9000000000000006E-2</v>
      </c>
      <c r="O12" s="385"/>
      <c r="P12" s="457">
        <v>2000000000</v>
      </c>
      <c r="Q12" s="449">
        <v>20</v>
      </c>
      <c r="R12" s="450"/>
      <c r="S12" s="449">
        <v>2000000000</v>
      </c>
      <c r="T12" s="449">
        <v>30</v>
      </c>
      <c r="V12" s="449">
        <v>30</v>
      </c>
      <c r="W12" s="352">
        <v>10</v>
      </c>
    </row>
    <row r="13" spans="2:25" s="352" customFormat="1" ht="25.35" customHeight="1">
      <c r="B13" s="354" t="s">
        <v>884</v>
      </c>
      <c r="C13" s="355"/>
      <c r="D13" s="369"/>
      <c r="E13" s="355"/>
      <c r="F13" s="369"/>
      <c r="G13" s="370"/>
      <c r="H13" s="355"/>
      <c r="I13" s="355"/>
      <c r="J13" s="371"/>
      <c r="M13" s="385" t="s">
        <v>882</v>
      </c>
      <c r="N13" s="385">
        <f>VLOOKUP(N6,'기초2(손해배상공제요율)'!$W$6:$AW$31,12)</f>
        <v>3</v>
      </c>
      <c r="O13" s="385"/>
      <c r="P13" s="457">
        <v>3000000000</v>
      </c>
      <c r="Q13" s="449">
        <v>30</v>
      </c>
      <c r="R13" s="450"/>
      <c r="S13" s="449">
        <v>3000000000</v>
      </c>
      <c r="T13" s="449">
        <v>40</v>
      </c>
      <c r="V13" s="449">
        <v>50</v>
      </c>
      <c r="W13" s="352">
        <v>10</v>
      </c>
    </row>
    <row r="14" spans="2:25" s="352" customFormat="1" ht="25.35" customHeight="1">
      <c r="B14" s="364"/>
      <c r="C14" s="764">
        <f>F3</f>
        <v>8545000</v>
      </c>
      <c r="D14" s="764"/>
      <c r="E14" s="357" t="s">
        <v>885</v>
      </c>
      <c r="F14" s="372" t="str">
        <f xml:space="preserve"> "( "&amp;H8&amp;"% + "&amp;I8&amp;"% x "&amp;N8&amp;" / 365 )  ="</f>
        <v>( 0.432% + 0.069% x 0 / 365 )  =</v>
      </c>
      <c r="G14" s="358"/>
      <c r="H14" s="373"/>
      <c r="I14" s="373"/>
      <c r="J14" s="374">
        <f>C14*(($H$8/100)+(($I$8/100)*0/365))</f>
        <v>36914.400000000001</v>
      </c>
      <c r="M14" s="385">
        <f>F3*(N11+(N12*(N8/365)))</f>
        <v>3691440</v>
      </c>
      <c r="N14" s="385">
        <f>F3*N11</f>
        <v>3691440</v>
      </c>
      <c r="O14" s="385"/>
      <c r="P14" s="457">
        <v>5000000000</v>
      </c>
      <c r="Q14" s="449">
        <v>50</v>
      </c>
      <c r="R14" s="450"/>
      <c r="S14" s="449">
        <v>5000000000</v>
      </c>
      <c r="T14" s="449">
        <v>50</v>
      </c>
      <c r="V14" s="449"/>
    </row>
    <row r="15" spans="2:25" s="352" customFormat="1" ht="25.35" customHeight="1">
      <c r="B15" s="364"/>
      <c r="C15" s="355"/>
      <c r="D15" s="355"/>
      <c r="E15" s="355"/>
      <c r="F15" s="355"/>
      <c r="G15" s="358"/>
      <c r="H15" s="355" t="s">
        <v>886</v>
      </c>
      <c r="I15" s="358" t="s">
        <v>887</v>
      </c>
      <c r="J15" s="375">
        <f>SUM(J14:J14)</f>
        <v>36914.400000000001</v>
      </c>
      <c r="M15" s="385"/>
      <c r="N15" s="385"/>
      <c r="O15" s="385"/>
      <c r="P15" s="457"/>
      <c r="Q15" s="449"/>
      <c r="R15" s="450"/>
      <c r="S15" s="449"/>
      <c r="T15" s="449"/>
    </row>
    <row r="16" spans="2:25" s="352" customFormat="1" ht="25.35" customHeight="1">
      <c r="B16" s="354"/>
      <c r="C16" s="355"/>
      <c r="D16" s="355"/>
      <c r="E16" s="355"/>
      <c r="F16" s="355"/>
      <c r="G16" s="358"/>
      <c r="H16" s="376"/>
      <c r="I16" s="355"/>
      <c r="J16" s="355"/>
      <c r="M16" s="385"/>
      <c r="N16" s="385"/>
      <c r="O16" s="385"/>
      <c r="P16" s="457"/>
      <c r="Q16" s="449"/>
      <c r="R16" s="451"/>
      <c r="S16" s="449"/>
      <c r="T16" s="449"/>
    </row>
    <row r="17" spans="2:20" s="352" customFormat="1" ht="25.35" customHeight="1">
      <c r="B17" s="377" t="s">
        <v>888</v>
      </c>
      <c r="C17" s="378"/>
      <c r="D17" s="378"/>
      <c r="E17" s="378"/>
      <c r="F17" s="378"/>
      <c r="G17" s="379" t="s">
        <v>887</v>
      </c>
      <c r="H17" s="765">
        <f>ROUNDDOWN(J15,-3)</f>
        <v>36000</v>
      </c>
      <c r="I17" s="766"/>
      <c r="J17" s="359"/>
      <c r="M17" s="385"/>
      <c r="N17" s="385"/>
      <c r="O17" s="385"/>
      <c r="P17" s="457"/>
      <c r="Q17" s="449"/>
      <c r="R17" s="452"/>
      <c r="S17" s="449"/>
      <c r="T17" s="449"/>
    </row>
    <row r="18" spans="2:20" s="352" customFormat="1" ht="25.35" customHeight="1">
      <c r="B18" s="380"/>
      <c r="C18" s="355"/>
      <c r="D18" s="355"/>
      <c r="E18" s="355"/>
      <c r="F18" s="355"/>
      <c r="G18" s="355"/>
      <c r="H18" s="355"/>
      <c r="I18" s="355"/>
      <c r="J18" s="358"/>
      <c r="M18" s="385"/>
      <c r="N18" s="385"/>
      <c r="O18" s="385"/>
      <c r="P18" s="457"/>
      <c r="Q18" s="449"/>
      <c r="R18" s="452"/>
      <c r="S18" s="449"/>
      <c r="T18" s="452"/>
    </row>
    <row r="19" spans="2:20" s="352" customFormat="1" ht="25.35" customHeight="1">
      <c r="B19" s="355"/>
      <c r="C19" s="355"/>
      <c r="D19" s="355"/>
      <c r="E19" s="355"/>
      <c r="F19" s="355"/>
      <c r="G19" s="355"/>
      <c r="H19" s="355"/>
      <c r="I19" s="355"/>
      <c r="J19" s="355"/>
      <c r="M19" s="385"/>
      <c r="N19" s="385"/>
      <c r="O19" s="385"/>
      <c r="P19" s="457"/>
      <c r="Q19" s="452"/>
      <c r="R19" s="452"/>
      <c r="S19" s="449"/>
      <c r="T19" s="452"/>
    </row>
    <row r="20" spans="2:20" s="352" customFormat="1" ht="25.35" customHeight="1">
      <c r="B20" s="381"/>
      <c r="C20" s="378"/>
      <c r="D20" s="378"/>
      <c r="E20" s="378"/>
      <c r="F20" s="378"/>
      <c r="G20" s="378"/>
      <c r="H20" s="378"/>
      <c r="I20" s="378"/>
      <c r="J20" s="378"/>
      <c r="K20" s="382"/>
    </row>
  </sheetData>
  <mergeCells count="11">
    <mergeCell ref="B1:J1"/>
    <mergeCell ref="F3:H3"/>
    <mergeCell ref="C7:F7"/>
    <mergeCell ref="C8:F8"/>
    <mergeCell ref="X2:Y2"/>
    <mergeCell ref="C14:D14"/>
    <mergeCell ref="H17:I17"/>
    <mergeCell ref="P2:Q2"/>
    <mergeCell ref="R2:S2"/>
    <mergeCell ref="T2:U2"/>
    <mergeCell ref="V2:W2"/>
  </mergeCells>
  <phoneticPr fontId="87" type="noConversion"/>
  <pageMargins left="0.70866141732283472" right="0.70866141732283472" top="0.78740157480314965" bottom="0.74803149606299213" header="0.31496062992125984" footer="0.31496062992125984"/>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29327BBD-07CE-4EDB-AD7E-AB26B0E1FFB9}">
            <xm:f>NOT(ISERROR(SEARCH($N$6,P2)))</xm:f>
            <xm:f>$N$6</xm:f>
            <x14:dxf>
              <font>
                <b/>
                <i val="0"/>
              </font>
              <fill>
                <patternFill>
                  <bgColor theme="9" tint="0.59996337778862885"/>
                </patternFill>
              </fill>
            </x14:dxf>
          </x14:cfRule>
          <xm:sqref>P2:Y2</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AH32"/>
  <sheetViews>
    <sheetView view="pageBreakPreview" zoomScale="70" zoomScaleNormal="100" zoomScaleSheetLayoutView="70" workbookViewId="0">
      <selection activeCell="L9" sqref="L9"/>
    </sheetView>
  </sheetViews>
  <sheetFormatPr defaultColWidth="8.88671875" defaultRowHeight="13.5"/>
  <cols>
    <col min="1" max="1" width="18" style="296" customWidth="1"/>
    <col min="2" max="2" width="6.77734375" style="296" customWidth="1"/>
    <col min="3" max="3" width="9.109375" style="296" customWidth="1"/>
    <col min="4" max="12" width="6.77734375" style="296" customWidth="1"/>
    <col min="13" max="16384" width="8.88671875" style="296"/>
  </cols>
  <sheetData>
    <row r="1" spans="1:34" s="286" customFormat="1" ht="30" customHeight="1">
      <c r="A1" s="776" t="s">
        <v>90</v>
      </c>
      <c r="B1" s="777"/>
      <c r="C1" s="777"/>
      <c r="D1" s="777"/>
      <c r="E1" s="777"/>
      <c r="F1" s="777"/>
      <c r="G1" s="777"/>
      <c r="H1" s="777"/>
      <c r="I1" s="777"/>
      <c r="J1" s="777"/>
      <c r="K1" s="777"/>
      <c r="L1" s="777"/>
    </row>
    <row r="2" spans="1:34" s="288" customFormat="1" ht="30" customHeight="1">
      <c r="A2" s="287" t="s">
        <v>306</v>
      </c>
      <c r="W2" s="460"/>
      <c r="X2" s="460"/>
      <c r="Y2" s="459"/>
      <c r="Z2" s="459"/>
      <c r="AA2" s="459"/>
      <c r="AB2" s="459"/>
      <c r="AC2" s="459"/>
      <c r="AD2" s="459"/>
      <c r="AE2" s="459"/>
      <c r="AF2" s="459"/>
      <c r="AG2" s="459"/>
      <c r="AH2" s="461"/>
    </row>
    <row r="3" spans="1:34" s="288" customFormat="1" ht="30" customHeight="1">
      <c r="A3" s="287" t="s">
        <v>362</v>
      </c>
      <c r="W3" s="460"/>
      <c r="X3" s="460"/>
      <c r="Y3" s="459"/>
      <c r="Z3" s="460"/>
      <c r="AA3" s="459"/>
      <c r="AB3" s="460"/>
      <c r="AC3" s="459"/>
      <c r="AD3" s="460"/>
      <c r="AE3" s="459"/>
      <c r="AF3" s="460"/>
      <c r="AG3" s="459"/>
      <c r="AH3" s="460"/>
    </row>
    <row r="4" spans="1:34" s="288" customFormat="1" ht="30" customHeight="1">
      <c r="A4" s="289" t="s">
        <v>199</v>
      </c>
      <c r="B4" s="288" t="str">
        <f>'산근2(손해보험공제요율)'!F6</f>
        <v>관람집회시설공사, 표준공사기간 이내</v>
      </c>
      <c r="Q4" s="288">
        <v>2</v>
      </c>
      <c r="R4" s="460" t="s">
        <v>659</v>
      </c>
      <c r="W4" s="460"/>
      <c r="X4" s="774" t="s">
        <v>659</v>
      </c>
      <c r="Y4" s="775"/>
      <c r="Z4" s="774" t="s">
        <v>433</v>
      </c>
      <c r="AA4" s="775"/>
      <c r="AB4" s="774" t="s">
        <v>56</v>
      </c>
      <c r="AC4" s="775"/>
      <c r="AD4" s="774" t="s">
        <v>66</v>
      </c>
      <c r="AE4" s="775"/>
      <c r="AF4" s="774" t="s">
        <v>51</v>
      </c>
      <c r="AG4" s="775"/>
      <c r="AH4" s="460"/>
    </row>
    <row r="5" spans="1:34" s="288" customFormat="1" ht="30" customHeight="1">
      <c r="A5" s="289" t="s">
        <v>199</v>
      </c>
      <c r="B5" s="288" t="s">
        <v>664</v>
      </c>
      <c r="C5" s="469">
        <f>(('산근2(손해보험공제요율)'!$H$8)+(('산근2(손해보험공제요율)'!$I$8)*0/365))</f>
        <v>0.432</v>
      </c>
      <c r="D5" s="290" t="s">
        <v>534</v>
      </c>
      <c r="Q5" s="288">
        <v>3</v>
      </c>
      <c r="R5" s="460" t="s">
        <v>433</v>
      </c>
      <c r="W5" s="456"/>
      <c r="X5" s="456" t="s">
        <v>652</v>
      </c>
      <c r="Y5" s="456" t="s">
        <v>631</v>
      </c>
      <c r="Z5" s="456" t="s">
        <v>652</v>
      </c>
      <c r="AA5" s="456" t="s">
        <v>631</v>
      </c>
      <c r="AB5" s="456" t="s">
        <v>652</v>
      </c>
      <c r="AC5" s="456" t="s">
        <v>631</v>
      </c>
      <c r="AD5" s="456" t="s">
        <v>652</v>
      </c>
      <c r="AE5" s="456" t="s">
        <v>631</v>
      </c>
      <c r="AF5" s="456" t="s">
        <v>652</v>
      </c>
      <c r="AG5" s="456" t="s">
        <v>631</v>
      </c>
      <c r="AH5" s="456"/>
    </row>
    <row r="6" spans="1:34" s="286" customFormat="1" ht="30" customHeight="1">
      <c r="A6" s="774" t="s">
        <v>426</v>
      </c>
      <c r="B6" s="774" t="s">
        <v>25</v>
      </c>
      <c r="C6" s="775"/>
      <c r="D6" s="775"/>
      <c r="E6" s="775"/>
      <c r="F6" s="775"/>
      <c r="G6" s="775"/>
      <c r="H6" s="775"/>
      <c r="I6" s="775"/>
      <c r="J6" s="775"/>
      <c r="K6" s="775"/>
      <c r="L6" s="778" t="s">
        <v>443</v>
      </c>
      <c r="Q6" s="286">
        <v>4</v>
      </c>
      <c r="R6" s="460" t="s">
        <v>56</v>
      </c>
      <c r="W6" s="455" t="s">
        <v>666</v>
      </c>
      <c r="X6" s="348">
        <v>0.72199999999999998</v>
      </c>
      <c r="Y6" s="348">
        <v>0.114</v>
      </c>
      <c r="Z6" s="348">
        <v>0.7</v>
      </c>
      <c r="AA6" s="348">
        <v>0.112</v>
      </c>
      <c r="AB6" s="348">
        <v>0.67800000000000005</v>
      </c>
      <c r="AC6" s="348">
        <v>0.109</v>
      </c>
      <c r="AD6" s="348">
        <v>0.65700000000000003</v>
      </c>
      <c r="AE6" s="348">
        <v>0.105</v>
      </c>
      <c r="AF6" s="348">
        <v>0.63500000000000001</v>
      </c>
      <c r="AG6" s="348">
        <v>0.10199999999999999</v>
      </c>
      <c r="AH6" s="349">
        <v>3</v>
      </c>
    </row>
    <row r="7" spans="1:34" s="286" customFormat="1" ht="30" customHeight="1">
      <c r="A7" s="774"/>
      <c r="B7" s="774" t="s">
        <v>659</v>
      </c>
      <c r="C7" s="775"/>
      <c r="D7" s="774" t="s">
        <v>433</v>
      </c>
      <c r="E7" s="775"/>
      <c r="F7" s="774" t="s">
        <v>56</v>
      </c>
      <c r="G7" s="775"/>
      <c r="H7" s="774" t="s">
        <v>66</v>
      </c>
      <c r="I7" s="775"/>
      <c r="J7" s="774" t="s">
        <v>51</v>
      </c>
      <c r="K7" s="775"/>
      <c r="L7" s="774"/>
      <c r="Q7" s="286">
        <v>5</v>
      </c>
      <c r="R7" s="460" t="s">
        <v>66</v>
      </c>
      <c r="W7" s="291" t="s">
        <v>657</v>
      </c>
      <c r="X7" s="350">
        <v>0.73499999999999999</v>
      </c>
      <c r="Y7" s="350">
        <v>0.11700000000000001</v>
      </c>
      <c r="Z7" s="350">
        <v>0.71399999999999997</v>
      </c>
      <c r="AA7" s="350">
        <v>0.114</v>
      </c>
      <c r="AB7" s="350">
        <v>0.69099999999999995</v>
      </c>
      <c r="AC7" s="350">
        <v>0.111</v>
      </c>
      <c r="AD7" s="350">
        <v>0.66900000000000004</v>
      </c>
      <c r="AE7" s="350">
        <v>0.108</v>
      </c>
      <c r="AF7" s="350">
        <v>0.64800000000000002</v>
      </c>
      <c r="AG7" s="350">
        <v>0.10299999999999999</v>
      </c>
      <c r="AH7" s="351">
        <v>5</v>
      </c>
    </row>
    <row r="8" spans="1:34" s="286" customFormat="1" ht="30" customHeight="1">
      <c r="A8" s="774"/>
      <c r="B8" s="456" t="s">
        <v>652</v>
      </c>
      <c r="C8" s="456" t="s">
        <v>631</v>
      </c>
      <c r="D8" s="456" t="s">
        <v>652</v>
      </c>
      <c r="E8" s="456" t="s">
        <v>631</v>
      </c>
      <c r="F8" s="456" t="s">
        <v>652</v>
      </c>
      <c r="G8" s="456" t="s">
        <v>631</v>
      </c>
      <c r="H8" s="456" t="s">
        <v>652</v>
      </c>
      <c r="I8" s="456" t="s">
        <v>631</v>
      </c>
      <c r="J8" s="456" t="s">
        <v>652</v>
      </c>
      <c r="K8" s="456" t="s">
        <v>631</v>
      </c>
      <c r="L8" s="774"/>
      <c r="O8" s="459"/>
      <c r="Q8" s="286">
        <v>6</v>
      </c>
      <c r="R8" s="460" t="s">
        <v>51</v>
      </c>
      <c r="W8" s="291" t="s">
        <v>429</v>
      </c>
      <c r="X8" s="350">
        <v>0.55800000000000005</v>
      </c>
      <c r="Y8" s="350">
        <v>8.8999999999999996E-2</v>
      </c>
      <c r="Z8" s="350">
        <v>0.54200000000000004</v>
      </c>
      <c r="AA8" s="350">
        <v>8.5999999999999993E-2</v>
      </c>
      <c r="AB8" s="350">
        <v>0.52500000000000002</v>
      </c>
      <c r="AC8" s="350">
        <v>8.5000000000000006E-2</v>
      </c>
      <c r="AD8" s="350">
        <v>0.50800000000000001</v>
      </c>
      <c r="AE8" s="350">
        <v>8.2000000000000003E-2</v>
      </c>
      <c r="AF8" s="350">
        <v>0.49199999999999999</v>
      </c>
      <c r="AG8" s="350">
        <v>7.8E-2</v>
      </c>
      <c r="AH8" s="351">
        <v>3</v>
      </c>
    </row>
    <row r="9" spans="1:34" s="286" customFormat="1" ht="30" customHeight="1">
      <c r="A9" s="456">
        <v>1</v>
      </c>
      <c r="B9" s="456">
        <v>2</v>
      </c>
      <c r="C9" s="456">
        <v>3</v>
      </c>
      <c r="D9" s="456">
        <v>4</v>
      </c>
      <c r="E9" s="456">
        <v>5</v>
      </c>
      <c r="F9" s="456">
        <v>6</v>
      </c>
      <c r="G9" s="456">
        <v>7</v>
      </c>
      <c r="H9" s="456">
        <v>8</v>
      </c>
      <c r="I9" s="456">
        <v>9</v>
      </c>
      <c r="J9" s="456">
        <v>10</v>
      </c>
      <c r="K9" s="456">
        <v>11</v>
      </c>
      <c r="L9" s="456">
        <v>12</v>
      </c>
      <c r="W9" s="291" t="s">
        <v>439</v>
      </c>
      <c r="X9" s="350">
        <v>0.52</v>
      </c>
      <c r="Y9" s="350">
        <v>8.3000000000000004E-2</v>
      </c>
      <c r="Z9" s="350">
        <v>0.503</v>
      </c>
      <c r="AA9" s="350">
        <v>8.2000000000000003E-2</v>
      </c>
      <c r="AB9" s="350">
        <v>0.48799999999999999</v>
      </c>
      <c r="AC9" s="350">
        <v>7.8E-2</v>
      </c>
      <c r="AD9" s="350">
        <v>0.47199999999999998</v>
      </c>
      <c r="AE9" s="350">
        <v>7.6999999999999999E-2</v>
      </c>
      <c r="AF9" s="350">
        <v>0.45700000000000002</v>
      </c>
      <c r="AG9" s="350">
        <v>7.1999999999999995E-2</v>
      </c>
      <c r="AH9" s="351">
        <v>3</v>
      </c>
    </row>
    <row r="10" spans="1:34" s="286" customFormat="1" ht="30" customHeight="1">
      <c r="A10" s="455" t="s">
        <v>666</v>
      </c>
      <c r="B10" s="348">
        <v>0.72199999999999998</v>
      </c>
      <c r="C10" s="348">
        <v>0.114</v>
      </c>
      <c r="D10" s="348">
        <v>0.7</v>
      </c>
      <c r="E10" s="348">
        <v>0.112</v>
      </c>
      <c r="F10" s="348">
        <v>0.67800000000000005</v>
      </c>
      <c r="G10" s="348">
        <v>0.109</v>
      </c>
      <c r="H10" s="348">
        <v>0.65700000000000003</v>
      </c>
      <c r="I10" s="348">
        <v>0.105</v>
      </c>
      <c r="J10" s="348">
        <v>0.63500000000000001</v>
      </c>
      <c r="K10" s="348">
        <v>0.10199999999999999</v>
      </c>
      <c r="L10" s="349">
        <v>3</v>
      </c>
      <c r="W10" s="291" t="s">
        <v>665</v>
      </c>
      <c r="X10" s="350">
        <v>0.81699999999999995</v>
      </c>
      <c r="Y10" s="350">
        <v>0.129</v>
      </c>
      <c r="Z10" s="350">
        <v>0.79200000000000004</v>
      </c>
      <c r="AA10" s="350">
        <v>0.128</v>
      </c>
      <c r="AB10" s="350">
        <v>0.76900000000000002</v>
      </c>
      <c r="AC10" s="350">
        <v>0.123</v>
      </c>
      <c r="AD10" s="350">
        <v>0.74299999999999999</v>
      </c>
      <c r="AE10" s="350">
        <v>0.11799999999999999</v>
      </c>
      <c r="AF10" s="350">
        <v>0.71799999999999997</v>
      </c>
      <c r="AG10" s="350">
        <v>0.114</v>
      </c>
      <c r="AH10" s="351">
        <v>5</v>
      </c>
    </row>
    <row r="11" spans="1:34" s="286" customFormat="1" ht="30" customHeight="1">
      <c r="A11" s="291" t="s">
        <v>665</v>
      </c>
      <c r="B11" s="350">
        <v>0.81699999999999995</v>
      </c>
      <c r="C11" s="350">
        <v>0.129</v>
      </c>
      <c r="D11" s="350">
        <v>0.79200000000000004</v>
      </c>
      <c r="E11" s="350">
        <v>0.128</v>
      </c>
      <c r="F11" s="350">
        <v>0.76900000000000002</v>
      </c>
      <c r="G11" s="350">
        <v>0.123</v>
      </c>
      <c r="H11" s="350">
        <v>0.74299999999999999</v>
      </c>
      <c r="I11" s="350">
        <v>0.11799999999999999</v>
      </c>
      <c r="J11" s="350">
        <v>0.71799999999999997</v>
      </c>
      <c r="K11" s="350">
        <v>0.114</v>
      </c>
      <c r="L11" s="351">
        <v>5</v>
      </c>
      <c r="W11" s="447" t="s">
        <v>434</v>
      </c>
      <c r="X11" s="350">
        <v>0.432</v>
      </c>
      <c r="Y11" s="350">
        <v>6.9000000000000006E-2</v>
      </c>
      <c r="Z11" s="350">
        <v>0.42</v>
      </c>
      <c r="AA11" s="350">
        <v>6.8000000000000005E-2</v>
      </c>
      <c r="AB11" s="350">
        <v>0.40600000000000003</v>
      </c>
      <c r="AC11" s="350">
        <v>6.5000000000000002E-2</v>
      </c>
      <c r="AD11" s="350">
        <v>0.39400000000000002</v>
      </c>
      <c r="AE11" s="350">
        <v>6.3E-2</v>
      </c>
      <c r="AF11" s="350">
        <v>0.38200000000000001</v>
      </c>
      <c r="AG11" s="350">
        <v>6.2E-2</v>
      </c>
      <c r="AH11" s="351">
        <v>3</v>
      </c>
    </row>
    <row r="12" spans="1:34" s="286" customFormat="1" ht="30" customHeight="1">
      <c r="A12" s="291" t="s">
        <v>629</v>
      </c>
      <c r="B12" s="350">
        <v>0.90300000000000002</v>
      </c>
      <c r="C12" s="350">
        <v>0.14499999999999999</v>
      </c>
      <c r="D12" s="350">
        <v>0.875</v>
      </c>
      <c r="E12" s="350">
        <v>0.14000000000000001</v>
      </c>
      <c r="F12" s="350">
        <v>0.84799999999999998</v>
      </c>
      <c r="G12" s="350">
        <v>0.13500000000000001</v>
      </c>
      <c r="H12" s="350">
        <v>0.82</v>
      </c>
      <c r="I12" s="350">
        <v>0.13200000000000001</v>
      </c>
      <c r="J12" s="350">
        <v>0.79400000000000004</v>
      </c>
      <c r="K12" s="350">
        <v>0.128</v>
      </c>
      <c r="L12" s="351">
        <v>5</v>
      </c>
      <c r="W12" s="291" t="s">
        <v>629</v>
      </c>
      <c r="X12" s="350">
        <v>0.90300000000000002</v>
      </c>
      <c r="Y12" s="350">
        <v>0.14499999999999999</v>
      </c>
      <c r="Z12" s="350">
        <v>0.875</v>
      </c>
      <c r="AA12" s="350">
        <v>0.14000000000000001</v>
      </c>
      <c r="AB12" s="350">
        <v>0.84799999999999998</v>
      </c>
      <c r="AC12" s="350">
        <v>0.13500000000000001</v>
      </c>
      <c r="AD12" s="350">
        <v>0.82</v>
      </c>
      <c r="AE12" s="350">
        <v>0.13200000000000001</v>
      </c>
      <c r="AF12" s="350">
        <v>0.79400000000000004</v>
      </c>
      <c r="AG12" s="350">
        <v>0.128</v>
      </c>
      <c r="AH12" s="351">
        <v>5</v>
      </c>
    </row>
    <row r="13" spans="1:34" s="286" customFormat="1" ht="30" customHeight="1">
      <c r="A13" s="291" t="s">
        <v>632</v>
      </c>
      <c r="B13" s="446">
        <v>0.64900000000000002</v>
      </c>
      <c r="C13" s="350">
        <v>0.105</v>
      </c>
      <c r="D13" s="350">
        <v>0.629</v>
      </c>
      <c r="E13" s="350">
        <v>0.1</v>
      </c>
      <c r="F13" s="350">
        <v>0.60899999999999999</v>
      </c>
      <c r="G13" s="350">
        <v>9.8000000000000004E-2</v>
      </c>
      <c r="H13" s="350">
        <v>0.59099999999999997</v>
      </c>
      <c r="I13" s="350">
        <v>9.4E-2</v>
      </c>
      <c r="J13" s="350">
        <v>0.57099999999999995</v>
      </c>
      <c r="K13" s="350">
        <v>9.0999999999999998E-2</v>
      </c>
      <c r="L13" s="351">
        <v>3</v>
      </c>
      <c r="W13" s="291" t="s">
        <v>632</v>
      </c>
      <c r="X13" s="446">
        <v>0.64900000000000002</v>
      </c>
      <c r="Y13" s="350">
        <v>0.105</v>
      </c>
      <c r="Z13" s="350">
        <v>0.629</v>
      </c>
      <c r="AA13" s="350">
        <v>0.1</v>
      </c>
      <c r="AB13" s="350">
        <v>0.60899999999999999</v>
      </c>
      <c r="AC13" s="350">
        <v>9.8000000000000004E-2</v>
      </c>
      <c r="AD13" s="350">
        <v>0.59099999999999997</v>
      </c>
      <c r="AE13" s="350">
        <v>9.4E-2</v>
      </c>
      <c r="AF13" s="350">
        <v>0.57099999999999995</v>
      </c>
      <c r="AG13" s="350">
        <v>9.0999999999999998E-2</v>
      </c>
      <c r="AH13" s="351">
        <v>3</v>
      </c>
    </row>
    <row r="14" spans="1:34" s="286" customFormat="1" ht="30" customHeight="1">
      <c r="A14" s="291" t="s">
        <v>424</v>
      </c>
      <c r="B14" s="350">
        <v>0.64900000000000002</v>
      </c>
      <c r="C14" s="350">
        <v>0.105</v>
      </c>
      <c r="D14" s="350">
        <v>0.629</v>
      </c>
      <c r="E14" s="350">
        <v>0.1</v>
      </c>
      <c r="F14" s="350">
        <v>0.60899999999999999</v>
      </c>
      <c r="G14" s="350">
        <v>9.8000000000000004E-2</v>
      </c>
      <c r="H14" s="350">
        <v>0.59099999999999997</v>
      </c>
      <c r="I14" s="350">
        <v>9.4E-2</v>
      </c>
      <c r="J14" s="350">
        <v>0.57099999999999995</v>
      </c>
      <c r="K14" s="350">
        <v>9.0999999999999998E-2</v>
      </c>
      <c r="L14" s="351">
        <v>3</v>
      </c>
      <c r="W14" s="291" t="s">
        <v>635</v>
      </c>
      <c r="X14" s="350">
        <v>0.76900000000000002</v>
      </c>
      <c r="Y14" s="350">
        <v>0.123</v>
      </c>
      <c r="Z14" s="350">
        <v>0.746</v>
      </c>
      <c r="AA14" s="350">
        <v>0.11799999999999999</v>
      </c>
      <c r="AB14" s="350">
        <v>0.72299999999999998</v>
      </c>
      <c r="AC14" s="350">
        <v>0.115</v>
      </c>
      <c r="AD14" s="350">
        <v>0.7</v>
      </c>
      <c r="AE14" s="350">
        <v>0.112</v>
      </c>
      <c r="AF14" s="350">
        <v>0.67700000000000005</v>
      </c>
      <c r="AG14" s="350">
        <v>0.109</v>
      </c>
      <c r="AH14" s="351">
        <v>3</v>
      </c>
    </row>
    <row r="15" spans="1:34" s="286" customFormat="1" ht="30" customHeight="1">
      <c r="A15" s="291" t="s">
        <v>657</v>
      </c>
      <c r="B15" s="350">
        <v>0.73499999999999999</v>
      </c>
      <c r="C15" s="350">
        <v>0.11700000000000001</v>
      </c>
      <c r="D15" s="350">
        <v>0.71399999999999997</v>
      </c>
      <c r="E15" s="350">
        <v>0.114</v>
      </c>
      <c r="F15" s="350">
        <v>0.69099999999999995</v>
      </c>
      <c r="G15" s="350">
        <v>0.111</v>
      </c>
      <c r="H15" s="350">
        <v>0.66900000000000004</v>
      </c>
      <c r="I15" s="350">
        <v>0.108</v>
      </c>
      <c r="J15" s="350">
        <v>0.64800000000000002</v>
      </c>
      <c r="K15" s="350">
        <v>0.10299999999999999</v>
      </c>
      <c r="L15" s="351">
        <v>5</v>
      </c>
      <c r="W15" s="291" t="s">
        <v>675</v>
      </c>
      <c r="X15" s="350">
        <v>0.53800000000000003</v>
      </c>
      <c r="Y15" s="350">
        <v>8.5999999999999993E-2</v>
      </c>
      <c r="Z15" s="350">
        <v>0.52300000000000002</v>
      </c>
      <c r="AA15" s="350">
        <v>8.3000000000000004E-2</v>
      </c>
      <c r="AB15" s="350">
        <v>0.50600000000000001</v>
      </c>
      <c r="AC15" s="350">
        <v>8.2000000000000003E-2</v>
      </c>
      <c r="AD15" s="350">
        <v>0.48899999999999999</v>
      </c>
      <c r="AE15" s="350">
        <v>7.8E-2</v>
      </c>
      <c r="AF15" s="350">
        <v>0.47399999999999998</v>
      </c>
      <c r="AG15" s="350">
        <v>7.6999999999999999E-2</v>
      </c>
      <c r="AH15" s="351">
        <v>2</v>
      </c>
    </row>
    <row r="16" spans="1:34" s="286" customFormat="1" ht="30" customHeight="1">
      <c r="A16" s="291" t="s">
        <v>651</v>
      </c>
      <c r="B16" s="350">
        <v>0.73499999999999999</v>
      </c>
      <c r="C16" s="350">
        <v>0.11700000000000001</v>
      </c>
      <c r="D16" s="350">
        <v>0.71399999999999997</v>
      </c>
      <c r="E16" s="350">
        <v>0.114</v>
      </c>
      <c r="F16" s="350">
        <v>0.69099999999999995</v>
      </c>
      <c r="G16" s="350">
        <v>0.111</v>
      </c>
      <c r="H16" s="350">
        <v>0.66900000000000004</v>
      </c>
      <c r="I16" s="350">
        <v>0.108</v>
      </c>
      <c r="J16" s="350">
        <v>0.64800000000000002</v>
      </c>
      <c r="K16" s="350">
        <v>0.10299999999999999</v>
      </c>
      <c r="L16" s="351">
        <v>5</v>
      </c>
      <c r="W16" s="291" t="s">
        <v>41</v>
      </c>
      <c r="X16" s="350">
        <v>0.84299999999999997</v>
      </c>
      <c r="Y16" s="350">
        <v>0.13400000000000001</v>
      </c>
      <c r="Z16" s="350">
        <v>0.81799999999999995</v>
      </c>
      <c r="AA16" s="350">
        <v>0.13100000000000001</v>
      </c>
      <c r="AB16" s="350">
        <v>0.79200000000000004</v>
      </c>
      <c r="AC16" s="350">
        <v>0.128</v>
      </c>
      <c r="AD16" s="350">
        <v>0.76800000000000002</v>
      </c>
      <c r="AE16" s="350">
        <v>0.123</v>
      </c>
      <c r="AF16" s="350">
        <v>0.74199999999999999</v>
      </c>
      <c r="AG16" s="350">
        <v>0.11799999999999999</v>
      </c>
      <c r="AH16" s="351">
        <v>3</v>
      </c>
    </row>
    <row r="17" spans="1:34" s="286" customFormat="1" ht="30" customHeight="1">
      <c r="A17" s="291" t="s">
        <v>654</v>
      </c>
      <c r="B17" s="350">
        <v>0.57699999999999996</v>
      </c>
      <c r="C17" s="350">
        <v>9.0999999999999998E-2</v>
      </c>
      <c r="D17" s="350">
        <v>0.56000000000000005</v>
      </c>
      <c r="E17" s="350">
        <v>8.8999999999999996E-2</v>
      </c>
      <c r="F17" s="350">
        <v>0.54300000000000004</v>
      </c>
      <c r="G17" s="350">
        <v>8.5999999999999993E-2</v>
      </c>
      <c r="H17" s="350">
        <v>0.52500000000000002</v>
      </c>
      <c r="I17" s="350">
        <v>8.5000000000000006E-2</v>
      </c>
      <c r="J17" s="350">
        <v>0.50800000000000001</v>
      </c>
      <c r="K17" s="350">
        <v>8.2000000000000003E-2</v>
      </c>
      <c r="L17" s="351">
        <v>3</v>
      </c>
      <c r="W17" s="291" t="s">
        <v>672</v>
      </c>
      <c r="X17" s="350">
        <v>0.53800000000000003</v>
      </c>
      <c r="Y17" s="350">
        <v>8.5999999999999993E-2</v>
      </c>
      <c r="Z17" s="350">
        <v>0.52300000000000002</v>
      </c>
      <c r="AA17" s="350">
        <v>8.3000000000000004E-2</v>
      </c>
      <c r="AB17" s="350">
        <v>0.50600000000000001</v>
      </c>
      <c r="AC17" s="350">
        <v>8.2000000000000003E-2</v>
      </c>
      <c r="AD17" s="350">
        <v>0.48899999999999999</v>
      </c>
      <c r="AE17" s="350">
        <v>7.8E-2</v>
      </c>
      <c r="AF17" s="350">
        <v>0.47399999999999998</v>
      </c>
      <c r="AG17" s="350">
        <v>7.6999999999999999E-2</v>
      </c>
      <c r="AH17" s="351">
        <v>2</v>
      </c>
    </row>
    <row r="18" spans="1:34" s="286" customFormat="1" ht="30" customHeight="1">
      <c r="A18" s="291" t="s">
        <v>638</v>
      </c>
      <c r="B18" s="350">
        <v>0.90300000000000002</v>
      </c>
      <c r="C18" s="350">
        <v>0.14499999999999999</v>
      </c>
      <c r="D18" s="350">
        <v>0.875</v>
      </c>
      <c r="E18" s="350">
        <v>0.14000000000000001</v>
      </c>
      <c r="F18" s="350">
        <v>0.84799999999999998</v>
      </c>
      <c r="G18" s="350">
        <v>0.13500000000000001</v>
      </c>
      <c r="H18" s="350">
        <v>0.82</v>
      </c>
      <c r="I18" s="350">
        <v>0.13200000000000001</v>
      </c>
      <c r="J18" s="350">
        <v>0.79400000000000004</v>
      </c>
      <c r="K18" s="350">
        <v>0.128</v>
      </c>
      <c r="L18" s="351">
        <v>4</v>
      </c>
      <c r="W18" s="291" t="s">
        <v>441</v>
      </c>
      <c r="X18" s="350">
        <v>1</v>
      </c>
      <c r="Y18" s="350">
        <v>0.16</v>
      </c>
      <c r="Z18" s="350">
        <v>0.96899999999999997</v>
      </c>
      <c r="AA18" s="350">
        <v>0.155</v>
      </c>
      <c r="AB18" s="350">
        <v>0.94</v>
      </c>
      <c r="AC18" s="350">
        <v>0.151</v>
      </c>
      <c r="AD18" s="350">
        <v>0.90900000000000003</v>
      </c>
      <c r="AE18" s="350">
        <v>0.14599999999999999</v>
      </c>
      <c r="AF18" s="350">
        <v>0.88</v>
      </c>
      <c r="AG18" s="350">
        <v>0.14199999999999999</v>
      </c>
      <c r="AH18" s="351">
        <v>2</v>
      </c>
    </row>
    <row r="19" spans="1:34" s="286" customFormat="1" ht="30" customHeight="1">
      <c r="A19" s="291" t="s">
        <v>622</v>
      </c>
      <c r="B19" s="350">
        <v>0.90300000000000002</v>
      </c>
      <c r="C19" s="350">
        <v>0.14499999999999999</v>
      </c>
      <c r="D19" s="350">
        <v>0.875</v>
      </c>
      <c r="E19" s="350">
        <v>0.14000000000000001</v>
      </c>
      <c r="F19" s="350">
        <v>0.84799999999999998</v>
      </c>
      <c r="G19" s="350">
        <v>0.13500000000000001</v>
      </c>
      <c r="H19" s="350">
        <v>0.82</v>
      </c>
      <c r="I19" s="350">
        <v>0.13200000000000001</v>
      </c>
      <c r="J19" s="350">
        <v>0.79400000000000004</v>
      </c>
      <c r="K19" s="350">
        <v>0.128</v>
      </c>
      <c r="L19" s="351">
        <v>4</v>
      </c>
      <c r="W19" s="291" t="s">
        <v>424</v>
      </c>
      <c r="X19" s="350">
        <v>0.64900000000000002</v>
      </c>
      <c r="Y19" s="350">
        <v>0.105</v>
      </c>
      <c r="Z19" s="350">
        <v>0.629</v>
      </c>
      <c r="AA19" s="350">
        <v>0.1</v>
      </c>
      <c r="AB19" s="350">
        <v>0.60899999999999999</v>
      </c>
      <c r="AC19" s="350">
        <v>9.8000000000000004E-2</v>
      </c>
      <c r="AD19" s="350">
        <v>0.59099999999999997</v>
      </c>
      <c r="AE19" s="350">
        <v>9.4E-2</v>
      </c>
      <c r="AF19" s="350">
        <v>0.57099999999999995</v>
      </c>
      <c r="AG19" s="350">
        <v>9.0999999999999998E-2</v>
      </c>
      <c r="AH19" s="351">
        <v>3</v>
      </c>
    </row>
    <row r="20" spans="1:34" s="286" customFormat="1" ht="30" customHeight="1">
      <c r="A20" s="291" t="s">
        <v>635</v>
      </c>
      <c r="B20" s="350">
        <v>0.76900000000000002</v>
      </c>
      <c r="C20" s="350">
        <v>0.123</v>
      </c>
      <c r="D20" s="350">
        <v>0.746</v>
      </c>
      <c r="E20" s="350">
        <v>0.11799999999999999</v>
      </c>
      <c r="F20" s="350">
        <v>0.72299999999999998</v>
      </c>
      <c r="G20" s="350">
        <v>0.115</v>
      </c>
      <c r="H20" s="350">
        <v>0.7</v>
      </c>
      <c r="I20" s="350">
        <v>0.112</v>
      </c>
      <c r="J20" s="350">
        <v>0.67700000000000005</v>
      </c>
      <c r="K20" s="350">
        <v>0.109</v>
      </c>
      <c r="L20" s="351">
        <v>3</v>
      </c>
      <c r="W20" s="291" t="s">
        <v>682</v>
      </c>
      <c r="X20" s="350">
        <v>0.432</v>
      </c>
      <c r="Y20" s="350">
        <v>6.9000000000000006E-2</v>
      </c>
      <c r="Z20" s="350">
        <v>0.42</v>
      </c>
      <c r="AA20" s="350">
        <v>6.8000000000000005E-2</v>
      </c>
      <c r="AB20" s="350">
        <v>0.40600000000000003</v>
      </c>
      <c r="AC20" s="350">
        <v>6.5000000000000002E-2</v>
      </c>
      <c r="AD20" s="350">
        <v>0.39400000000000002</v>
      </c>
      <c r="AE20" s="350">
        <v>6.3E-2</v>
      </c>
      <c r="AF20" s="350">
        <v>0.38200000000000001</v>
      </c>
      <c r="AG20" s="350">
        <v>6.2E-2</v>
      </c>
      <c r="AH20" s="351">
        <v>2</v>
      </c>
    </row>
    <row r="21" spans="1:34" s="286" customFormat="1" ht="30" customHeight="1">
      <c r="A21" s="291" t="s">
        <v>441</v>
      </c>
      <c r="B21" s="350">
        <v>1</v>
      </c>
      <c r="C21" s="350">
        <v>0.16</v>
      </c>
      <c r="D21" s="350">
        <v>0.96899999999999997</v>
      </c>
      <c r="E21" s="350">
        <v>0.155</v>
      </c>
      <c r="F21" s="350">
        <v>0.94</v>
      </c>
      <c r="G21" s="350">
        <v>0.151</v>
      </c>
      <c r="H21" s="350">
        <v>0.90900000000000003</v>
      </c>
      <c r="I21" s="350">
        <v>0.14599999999999999</v>
      </c>
      <c r="J21" s="350">
        <v>0.88</v>
      </c>
      <c r="K21" s="350">
        <v>0.14199999999999999</v>
      </c>
      <c r="L21" s="351">
        <v>2</v>
      </c>
      <c r="W21" s="291" t="s">
        <v>638</v>
      </c>
      <c r="X21" s="350">
        <v>0.90300000000000002</v>
      </c>
      <c r="Y21" s="350">
        <v>0.14499999999999999</v>
      </c>
      <c r="Z21" s="350">
        <v>0.875</v>
      </c>
      <c r="AA21" s="350">
        <v>0.14000000000000001</v>
      </c>
      <c r="AB21" s="350">
        <v>0.84799999999999998</v>
      </c>
      <c r="AC21" s="350">
        <v>0.13500000000000001</v>
      </c>
      <c r="AD21" s="350">
        <v>0.82</v>
      </c>
      <c r="AE21" s="350">
        <v>0.13200000000000001</v>
      </c>
      <c r="AF21" s="350">
        <v>0.79400000000000004</v>
      </c>
      <c r="AG21" s="350">
        <v>0.128</v>
      </c>
      <c r="AH21" s="351">
        <v>4</v>
      </c>
    </row>
    <row r="22" spans="1:34" s="286" customFormat="1" ht="30" customHeight="1">
      <c r="A22" s="291" t="s">
        <v>442</v>
      </c>
      <c r="B22" s="350">
        <v>0.78800000000000003</v>
      </c>
      <c r="C22" s="350">
        <v>0.126</v>
      </c>
      <c r="D22" s="350">
        <v>0.76300000000000001</v>
      </c>
      <c r="E22" s="350">
        <v>0.122</v>
      </c>
      <c r="F22" s="350">
        <v>0.74</v>
      </c>
      <c r="G22" s="350">
        <v>0.11799999999999999</v>
      </c>
      <c r="H22" s="350">
        <v>0.71699999999999997</v>
      </c>
      <c r="I22" s="350">
        <v>0.114</v>
      </c>
      <c r="J22" s="350">
        <v>0.69199999999999995</v>
      </c>
      <c r="K22" s="350">
        <v>0.111</v>
      </c>
      <c r="L22" s="351">
        <v>2</v>
      </c>
      <c r="W22" s="291" t="s">
        <v>654</v>
      </c>
      <c r="X22" s="350">
        <v>0.57699999999999996</v>
      </c>
      <c r="Y22" s="350">
        <v>9.0999999999999998E-2</v>
      </c>
      <c r="Z22" s="350">
        <v>0.56000000000000005</v>
      </c>
      <c r="AA22" s="350">
        <v>8.8999999999999996E-2</v>
      </c>
      <c r="AB22" s="350">
        <v>0.54300000000000004</v>
      </c>
      <c r="AC22" s="350">
        <v>8.5999999999999993E-2</v>
      </c>
      <c r="AD22" s="350">
        <v>0.52500000000000002</v>
      </c>
      <c r="AE22" s="350">
        <v>8.5000000000000006E-2</v>
      </c>
      <c r="AF22" s="350">
        <v>0.50800000000000001</v>
      </c>
      <c r="AG22" s="350">
        <v>8.2000000000000003E-2</v>
      </c>
      <c r="AH22" s="351">
        <v>3</v>
      </c>
    </row>
    <row r="23" spans="1:34" s="286" customFormat="1" ht="30" customHeight="1">
      <c r="A23" s="291" t="s">
        <v>423</v>
      </c>
      <c r="B23" s="350">
        <v>0.78800000000000003</v>
      </c>
      <c r="C23" s="350">
        <v>0.126</v>
      </c>
      <c r="D23" s="350">
        <v>0.76300000000000001</v>
      </c>
      <c r="E23" s="350">
        <v>0.122</v>
      </c>
      <c r="F23" s="350">
        <v>0.74</v>
      </c>
      <c r="G23" s="350">
        <v>0.11799999999999999</v>
      </c>
      <c r="H23" s="350">
        <v>0.71699999999999997</v>
      </c>
      <c r="I23" s="350">
        <v>0.114</v>
      </c>
      <c r="J23" s="350">
        <v>0.69199999999999995</v>
      </c>
      <c r="K23" s="350">
        <v>0.111</v>
      </c>
      <c r="L23" s="351">
        <v>2</v>
      </c>
      <c r="W23" s="291" t="s">
        <v>622</v>
      </c>
      <c r="X23" s="350">
        <v>0.90300000000000002</v>
      </c>
      <c r="Y23" s="350">
        <v>0.14499999999999999</v>
      </c>
      <c r="Z23" s="350">
        <v>0.875</v>
      </c>
      <c r="AA23" s="350">
        <v>0.14000000000000001</v>
      </c>
      <c r="AB23" s="350">
        <v>0.84799999999999998</v>
      </c>
      <c r="AC23" s="350">
        <v>0.13500000000000001</v>
      </c>
      <c r="AD23" s="350">
        <v>0.82</v>
      </c>
      <c r="AE23" s="350">
        <v>0.13200000000000001</v>
      </c>
      <c r="AF23" s="350">
        <v>0.79400000000000004</v>
      </c>
      <c r="AG23" s="350">
        <v>0.128</v>
      </c>
      <c r="AH23" s="351">
        <v>4</v>
      </c>
    </row>
    <row r="24" spans="1:34" s="286" customFormat="1" ht="30" customHeight="1">
      <c r="A24" s="291" t="s">
        <v>41</v>
      </c>
      <c r="B24" s="350">
        <v>0.84299999999999997</v>
      </c>
      <c r="C24" s="350">
        <v>0.13400000000000001</v>
      </c>
      <c r="D24" s="350">
        <v>0.81799999999999995</v>
      </c>
      <c r="E24" s="350">
        <v>0.13100000000000001</v>
      </c>
      <c r="F24" s="350">
        <v>0.79200000000000004</v>
      </c>
      <c r="G24" s="350">
        <v>0.128</v>
      </c>
      <c r="H24" s="350">
        <v>0.76800000000000002</v>
      </c>
      <c r="I24" s="350">
        <v>0.123</v>
      </c>
      <c r="J24" s="350">
        <v>0.74199999999999999</v>
      </c>
      <c r="K24" s="350">
        <v>0.11799999999999999</v>
      </c>
      <c r="L24" s="351">
        <v>3</v>
      </c>
      <c r="W24" s="291" t="s">
        <v>442</v>
      </c>
      <c r="X24" s="350">
        <v>0.78800000000000003</v>
      </c>
      <c r="Y24" s="350">
        <v>0.126</v>
      </c>
      <c r="Z24" s="350">
        <v>0.76300000000000001</v>
      </c>
      <c r="AA24" s="350">
        <v>0.122</v>
      </c>
      <c r="AB24" s="350">
        <v>0.74</v>
      </c>
      <c r="AC24" s="350">
        <v>0.11799999999999999</v>
      </c>
      <c r="AD24" s="350">
        <v>0.71699999999999997</v>
      </c>
      <c r="AE24" s="350">
        <v>0.114</v>
      </c>
      <c r="AF24" s="350">
        <v>0.69199999999999995</v>
      </c>
      <c r="AG24" s="350">
        <v>0.111</v>
      </c>
      <c r="AH24" s="351">
        <v>2</v>
      </c>
    </row>
    <row r="25" spans="1:34" s="286" customFormat="1" ht="30" customHeight="1">
      <c r="A25" s="291" t="s">
        <v>624</v>
      </c>
      <c r="B25" s="350">
        <v>0.78800000000000003</v>
      </c>
      <c r="C25" s="350">
        <v>0.126</v>
      </c>
      <c r="D25" s="350">
        <v>0.76300000000000001</v>
      </c>
      <c r="E25" s="350">
        <v>0.122</v>
      </c>
      <c r="F25" s="350">
        <v>0.74</v>
      </c>
      <c r="G25" s="350">
        <v>0.11799999999999999</v>
      </c>
      <c r="H25" s="350">
        <v>0.71699999999999997</v>
      </c>
      <c r="I25" s="350">
        <v>0.114</v>
      </c>
      <c r="J25" s="350">
        <v>0.69199999999999995</v>
      </c>
      <c r="K25" s="350">
        <v>0.111</v>
      </c>
      <c r="L25" s="351">
        <v>2</v>
      </c>
      <c r="W25" s="291" t="s">
        <v>624</v>
      </c>
      <c r="X25" s="350">
        <v>0.78800000000000003</v>
      </c>
      <c r="Y25" s="350">
        <v>0.126</v>
      </c>
      <c r="Z25" s="350">
        <v>0.76300000000000001</v>
      </c>
      <c r="AA25" s="350">
        <v>0.122</v>
      </c>
      <c r="AB25" s="350">
        <v>0.74</v>
      </c>
      <c r="AC25" s="350">
        <v>0.11799999999999999</v>
      </c>
      <c r="AD25" s="350">
        <v>0.71699999999999997</v>
      </c>
      <c r="AE25" s="350">
        <v>0.114</v>
      </c>
      <c r="AF25" s="350">
        <v>0.69199999999999995</v>
      </c>
      <c r="AG25" s="350">
        <v>0.111</v>
      </c>
      <c r="AH25" s="351">
        <v>2</v>
      </c>
    </row>
    <row r="26" spans="1:34" s="286" customFormat="1" ht="30" customHeight="1">
      <c r="A26" s="447" t="s">
        <v>434</v>
      </c>
      <c r="B26" s="350">
        <v>0.432</v>
      </c>
      <c r="C26" s="350">
        <v>6.9000000000000006E-2</v>
      </c>
      <c r="D26" s="350">
        <v>0.42</v>
      </c>
      <c r="E26" s="350">
        <v>6.8000000000000005E-2</v>
      </c>
      <c r="F26" s="350">
        <v>0.40600000000000003</v>
      </c>
      <c r="G26" s="350">
        <v>6.5000000000000002E-2</v>
      </c>
      <c r="H26" s="350">
        <v>0.39400000000000002</v>
      </c>
      <c r="I26" s="350">
        <v>6.3E-2</v>
      </c>
      <c r="J26" s="350">
        <v>0.38200000000000001</v>
      </c>
      <c r="K26" s="350">
        <v>6.2E-2</v>
      </c>
      <c r="L26" s="351">
        <v>3</v>
      </c>
      <c r="W26" s="291" t="s">
        <v>423</v>
      </c>
      <c r="X26" s="350">
        <v>0.78800000000000003</v>
      </c>
      <c r="Y26" s="350">
        <v>0.126</v>
      </c>
      <c r="Z26" s="350">
        <v>0.76300000000000001</v>
      </c>
      <c r="AA26" s="350">
        <v>0.122</v>
      </c>
      <c r="AB26" s="350">
        <v>0.74</v>
      </c>
      <c r="AC26" s="350">
        <v>0.11799999999999999</v>
      </c>
      <c r="AD26" s="350">
        <v>0.71699999999999997</v>
      </c>
      <c r="AE26" s="350">
        <v>0.114</v>
      </c>
      <c r="AF26" s="350">
        <v>0.69199999999999995</v>
      </c>
      <c r="AG26" s="350">
        <v>0.111</v>
      </c>
      <c r="AH26" s="351">
        <v>2</v>
      </c>
    </row>
    <row r="27" spans="1:34" s="286" customFormat="1" ht="30" customHeight="1">
      <c r="A27" s="291" t="s">
        <v>682</v>
      </c>
      <c r="B27" s="350">
        <v>0.432</v>
      </c>
      <c r="C27" s="350">
        <v>6.9000000000000006E-2</v>
      </c>
      <c r="D27" s="350">
        <v>0.42</v>
      </c>
      <c r="E27" s="350">
        <v>6.8000000000000005E-2</v>
      </c>
      <c r="F27" s="350">
        <v>0.40600000000000003</v>
      </c>
      <c r="G27" s="350">
        <v>6.5000000000000002E-2</v>
      </c>
      <c r="H27" s="350">
        <v>0.39400000000000002</v>
      </c>
      <c r="I27" s="350">
        <v>6.3E-2</v>
      </c>
      <c r="J27" s="350">
        <v>0.38200000000000001</v>
      </c>
      <c r="K27" s="350">
        <v>6.2E-2</v>
      </c>
      <c r="L27" s="351">
        <v>2</v>
      </c>
      <c r="W27" s="292" t="s">
        <v>651</v>
      </c>
      <c r="X27" s="350">
        <v>0.73499999999999999</v>
      </c>
      <c r="Y27" s="350">
        <v>0.11700000000000001</v>
      </c>
      <c r="Z27" s="350">
        <v>0.71399999999999997</v>
      </c>
      <c r="AA27" s="350">
        <v>0.114</v>
      </c>
      <c r="AB27" s="350">
        <v>0.69099999999999995</v>
      </c>
      <c r="AC27" s="350">
        <v>0.111</v>
      </c>
      <c r="AD27" s="350">
        <v>0.66900000000000004</v>
      </c>
      <c r="AE27" s="350">
        <v>0.108</v>
      </c>
      <c r="AF27" s="350">
        <v>0.64800000000000002</v>
      </c>
      <c r="AG27" s="350">
        <v>0.10299999999999999</v>
      </c>
      <c r="AH27" s="351">
        <v>5</v>
      </c>
    </row>
    <row r="28" spans="1:34" s="286" customFormat="1" ht="30" customHeight="1">
      <c r="A28" s="291" t="s">
        <v>439</v>
      </c>
      <c r="B28" s="350">
        <v>0.52</v>
      </c>
      <c r="C28" s="350">
        <v>8.3000000000000004E-2</v>
      </c>
      <c r="D28" s="350">
        <v>0.503</v>
      </c>
      <c r="E28" s="350">
        <v>8.2000000000000003E-2</v>
      </c>
      <c r="F28" s="350">
        <v>0.48799999999999999</v>
      </c>
      <c r="G28" s="350">
        <v>7.8E-2</v>
      </c>
      <c r="H28" s="350">
        <v>0.47199999999999998</v>
      </c>
      <c r="I28" s="350">
        <v>7.6999999999999999E-2</v>
      </c>
      <c r="J28" s="350">
        <v>0.45700000000000002</v>
      </c>
      <c r="K28" s="350">
        <v>7.1999999999999995E-2</v>
      </c>
      <c r="L28" s="351">
        <v>3</v>
      </c>
    </row>
    <row r="29" spans="1:34" s="286" customFormat="1" ht="30" customHeight="1">
      <c r="A29" s="291" t="s">
        <v>672</v>
      </c>
      <c r="B29" s="350">
        <v>0.53800000000000003</v>
      </c>
      <c r="C29" s="350">
        <v>8.5999999999999993E-2</v>
      </c>
      <c r="D29" s="350">
        <v>0.52300000000000002</v>
      </c>
      <c r="E29" s="350">
        <v>8.3000000000000004E-2</v>
      </c>
      <c r="F29" s="350">
        <v>0.50600000000000001</v>
      </c>
      <c r="G29" s="350">
        <v>8.2000000000000003E-2</v>
      </c>
      <c r="H29" s="350">
        <v>0.48899999999999999</v>
      </c>
      <c r="I29" s="350">
        <v>7.8E-2</v>
      </c>
      <c r="J29" s="350">
        <v>0.47399999999999998</v>
      </c>
      <c r="K29" s="350">
        <v>7.6999999999999999E-2</v>
      </c>
      <c r="L29" s="351">
        <v>2</v>
      </c>
      <c r="X29" s="286" t="e">
        <f>AND(SEARCH('산근2(손해보험공제요율)'!N6,W6:W27),'산근2(손해보험공제요율)'!N11)</f>
        <v>#VALUE!</v>
      </c>
    </row>
    <row r="30" spans="1:34" s="286" customFormat="1" ht="30" customHeight="1">
      <c r="A30" s="291" t="s">
        <v>675</v>
      </c>
      <c r="B30" s="350">
        <v>0.53800000000000003</v>
      </c>
      <c r="C30" s="350">
        <v>8.5999999999999993E-2</v>
      </c>
      <c r="D30" s="350">
        <v>0.52300000000000002</v>
      </c>
      <c r="E30" s="350">
        <v>8.3000000000000004E-2</v>
      </c>
      <c r="F30" s="350">
        <v>0.50600000000000001</v>
      </c>
      <c r="G30" s="350">
        <v>8.2000000000000003E-2</v>
      </c>
      <c r="H30" s="350">
        <v>0.48899999999999999</v>
      </c>
      <c r="I30" s="350">
        <v>7.8E-2</v>
      </c>
      <c r="J30" s="350">
        <v>0.47399999999999998</v>
      </c>
      <c r="K30" s="350">
        <v>7.6999999999999999E-2</v>
      </c>
      <c r="L30" s="351">
        <v>2</v>
      </c>
      <c r="X30" s="286" t="e">
        <f t="array" ref="X30">INDEX(B10:K31,MATCH(1,('산근2(손해보험공제요율)'!N6)*('산근2(손해보험공제요율)'!N11),0),0)</f>
        <v>#VALUE!</v>
      </c>
    </row>
    <row r="31" spans="1:34" s="286" customFormat="1" ht="30" customHeight="1">
      <c r="A31" s="292" t="s">
        <v>429</v>
      </c>
      <c r="B31" s="350">
        <v>0.55800000000000005</v>
      </c>
      <c r="C31" s="350">
        <v>8.8999999999999996E-2</v>
      </c>
      <c r="D31" s="350">
        <v>0.54200000000000004</v>
      </c>
      <c r="E31" s="350">
        <v>8.5999999999999993E-2</v>
      </c>
      <c r="F31" s="350">
        <v>0.52500000000000002</v>
      </c>
      <c r="G31" s="350">
        <v>8.5000000000000006E-2</v>
      </c>
      <c r="H31" s="350">
        <v>0.50800000000000001</v>
      </c>
      <c r="I31" s="350">
        <v>8.2000000000000003E-2</v>
      </c>
      <c r="J31" s="350">
        <v>0.49199999999999999</v>
      </c>
      <c r="K31" s="350">
        <v>7.8E-2</v>
      </c>
      <c r="L31" s="351">
        <v>3</v>
      </c>
    </row>
    <row r="32" spans="1:34" s="286" customFormat="1" ht="30" customHeight="1">
      <c r="A32" s="293" t="s">
        <v>55</v>
      </c>
      <c r="B32" s="294">
        <f>AVERAGE(B10:B31)</f>
        <v>0.70850000000000013</v>
      </c>
      <c r="C32" s="294">
        <f t="shared" ref="C32:L32" si="0">AVERAGE(C10:C31)</f>
        <v>0.11318181818181815</v>
      </c>
      <c r="D32" s="294">
        <f t="shared" si="0"/>
        <v>0.68709090909090909</v>
      </c>
      <c r="E32" s="294">
        <f t="shared" si="0"/>
        <v>0.10986363636363637</v>
      </c>
      <c r="F32" s="294">
        <f t="shared" si="0"/>
        <v>0.66572727272727272</v>
      </c>
      <c r="G32" s="294">
        <f t="shared" si="0"/>
        <v>0.1066363636363636</v>
      </c>
      <c r="H32" s="294">
        <f t="shared" si="0"/>
        <v>0.64450000000000029</v>
      </c>
      <c r="I32" s="294">
        <f t="shared" si="0"/>
        <v>0.10327272727272727</v>
      </c>
      <c r="J32" s="294">
        <f t="shared" si="0"/>
        <v>0.62350000000000005</v>
      </c>
      <c r="K32" s="294">
        <f t="shared" si="0"/>
        <v>9.9999999999999992E-2</v>
      </c>
      <c r="L32" s="295">
        <f t="shared" si="0"/>
        <v>3.1363636363636362</v>
      </c>
    </row>
  </sheetData>
  <mergeCells count="14">
    <mergeCell ref="A1:L1"/>
    <mergeCell ref="A6:A8"/>
    <mergeCell ref="B6:K6"/>
    <mergeCell ref="L6:L8"/>
    <mergeCell ref="B7:C7"/>
    <mergeCell ref="D7:E7"/>
    <mergeCell ref="F7:G7"/>
    <mergeCell ref="H7:I7"/>
    <mergeCell ref="J7:K7"/>
    <mergeCell ref="X4:Y4"/>
    <mergeCell ref="Z4:AA4"/>
    <mergeCell ref="AB4:AC4"/>
    <mergeCell ref="AD4:AE4"/>
    <mergeCell ref="AF4:AG4"/>
  </mergeCells>
  <phoneticPr fontId="87" type="noConversion"/>
  <pageMargins left="0.7086111307144165" right="0.7086111307144165" top="0.78722220659255981" bottom="0.74777776002883911" header="0.31486111879348755" footer="0.31486111879348755"/>
  <pageSetup paperSize="9" scale="75" orientation="portrait" r:id="rId1"/>
  <extLst>
    <ext xmlns:x14="http://schemas.microsoft.com/office/spreadsheetml/2009/9/main" uri="{78C0D931-6437-407d-A8EE-F0AAD7539E65}">
      <x14:conditionalFormattings>
        <x14:conditionalFormatting xmlns:xm="http://schemas.microsoft.com/office/excel/2006/main">
          <x14:cfRule type="containsText" priority="7" operator="containsText" id="{AE0D994B-A1F5-4548-93D3-A5161CE8470A}">
            <xm:f>NOT(ISERROR(SEARCH('산근2(손해보험공제요율)'!$N$6,A4)))</xm:f>
            <xm:f>'산근2(손해보험공제요율)'!$N$6</xm:f>
            <x14:dxf>
              <font>
                <b/>
                <i val="0"/>
              </font>
              <fill>
                <patternFill>
                  <bgColor theme="9" tint="0.59996337778862885"/>
                </patternFill>
              </fill>
            </x14:dxf>
          </x14:cfRule>
          <xm:sqref>A6:L32 O8 R4:R8</xm:sqref>
        </x14:conditionalFormatting>
        <x14:conditionalFormatting xmlns:xm="http://schemas.microsoft.com/office/excel/2006/main">
          <x14:cfRule type="expression" priority="1" id="{84799EF7-5489-4F6B-B324-5BE256E7732A}">
            <xm:f>INDEX($B$2:$B$31,MATCH('산근2(손해보험공제요율)'!$N$6,$B$10:$B$31),0)</xm:f>
            <x14:dxf>
              <font>
                <b/>
                <i val="0"/>
                <strike val="0"/>
              </font>
              <border>
                <left style="thin">
                  <color rgb="FFFF0000"/>
                </left>
                <right style="thin">
                  <color rgb="FFFF0000"/>
                </right>
                <top style="thin">
                  <color rgb="FFFF0000"/>
                </top>
                <bottom style="thin">
                  <color rgb="FFFF0000"/>
                </bottom>
                <vertical/>
                <horizontal/>
              </border>
            </x14:dxf>
          </x14:cfRule>
          <xm:sqref>A10:L31</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R31"/>
  <sheetViews>
    <sheetView view="pageBreakPreview" zoomScaleNormal="100" zoomScaleSheetLayoutView="100" workbookViewId="0">
      <selection activeCell="I25" sqref="I25"/>
    </sheetView>
  </sheetViews>
  <sheetFormatPr defaultColWidth="8.88671875" defaultRowHeight="13.5"/>
  <cols>
    <col min="1" max="1" width="1.77734375" customWidth="1"/>
    <col min="2" max="7" width="9" bestFit="1" customWidth="1"/>
    <col min="8" max="18" width="5.77734375" customWidth="1"/>
  </cols>
  <sheetData>
    <row r="1" spans="1:18" ht="30" customHeight="1">
      <c r="A1" s="779" t="s">
        <v>38</v>
      </c>
      <c r="B1" s="779"/>
      <c r="C1" s="779"/>
      <c r="D1" s="779"/>
      <c r="E1" s="780"/>
      <c r="F1" s="779"/>
      <c r="G1" s="779"/>
      <c r="H1" s="779"/>
      <c r="I1" s="779"/>
      <c r="J1" s="779"/>
      <c r="K1" s="780"/>
      <c r="L1" s="779"/>
      <c r="M1" s="779"/>
      <c r="N1" s="779"/>
      <c r="O1" s="779"/>
      <c r="P1" s="779"/>
      <c r="Q1" s="779"/>
      <c r="R1" s="779"/>
    </row>
    <row r="2" spans="1:18" ht="17.100000000000001" customHeight="1">
      <c r="A2" s="172"/>
      <c r="B2" s="173" t="s">
        <v>457</v>
      </c>
      <c r="C2" s="174"/>
      <c r="D2" s="174"/>
      <c r="E2" s="174"/>
      <c r="F2" s="174"/>
      <c r="G2" s="174"/>
      <c r="H2" s="174"/>
      <c r="I2" s="174"/>
      <c r="J2" s="174"/>
      <c r="K2" s="174"/>
      <c r="L2" s="174"/>
      <c r="M2" s="174"/>
      <c r="N2" s="174"/>
      <c r="O2" s="174"/>
      <c r="P2" s="174"/>
      <c r="Q2" s="174"/>
      <c r="R2" s="175"/>
    </row>
    <row r="3" spans="1:18" ht="17.100000000000001" customHeight="1">
      <c r="A3" s="176"/>
      <c r="B3" s="177" t="s">
        <v>89</v>
      </c>
      <c r="C3" s="178"/>
      <c r="D3" s="179"/>
      <c r="E3" s="179"/>
      <c r="F3" s="179"/>
      <c r="G3" s="179"/>
      <c r="H3" s="179"/>
      <c r="I3" s="179"/>
      <c r="J3" s="179"/>
      <c r="K3" s="179"/>
      <c r="L3" s="179"/>
      <c r="M3" s="179"/>
      <c r="N3" s="179"/>
      <c r="O3" s="179"/>
      <c r="P3" s="179"/>
      <c r="Q3" s="179"/>
      <c r="R3" s="180"/>
    </row>
    <row r="4" spans="1:18" ht="17.100000000000001" customHeight="1">
      <c r="A4" s="176"/>
      <c r="B4" s="181" t="s">
        <v>568</v>
      </c>
      <c r="C4" s="182" t="s">
        <v>569</v>
      </c>
      <c r="D4" s="179"/>
      <c r="E4" s="179"/>
      <c r="F4" s="179"/>
      <c r="G4" s="179"/>
      <c r="H4" s="179"/>
      <c r="I4" s="179"/>
      <c r="J4" s="179"/>
      <c r="K4" s="179"/>
      <c r="L4" s="179"/>
      <c r="M4" s="179"/>
      <c r="N4" s="179"/>
      <c r="O4" s="179"/>
      <c r="P4" s="179"/>
      <c r="Q4" s="179"/>
      <c r="R4" s="180"/>
    </row>
    <row r="5" spans="1:18" ht="17.100000000000001" customHeight="1">
      <c r="A5" s="176"/>
      <c r="B5" s="183" t="s">
        <v>579</v>
      </c>
      <c r="C5" s="184">
        <v>2.8</v>
      </c>
      <c r="D5" s="179"/>
      <c r="E5" s="179"/>
      <c r="F5" s="179"/>
      <c r="G5" s="179"/>
      <c r="H5" s="179"/>
      <c r="I5" s="179"/>
      <c r="J5" s="179"/>
      <c r="K5" s="179"/>
      <c r="L5" s="179"/>
      <c r="M5" s="179"/>
      <c r="N5" s="179"/>
      <c r="O5" s="179"/>
      <c r="P5" s="179"/>
      <c r="Q5" s="179"/>
      <c r="R5" s="180"/>
    </row>
    <row r="6" spans="1:18" ht="17.100000000000001" customHeight="1">
      <c r="A6" s="176"/>
      <c r="B6" s="183" t="s">
        <v>529</v>
      </c>
      <c r="C6" s="184">
        <v>2.15</v>
      </c>
      <c r="D6" s="179"/>
      <c r="E6" s="179"/>
      <c r="F6" s="179"/>
      <c r="G6" s="179"/>
      <c r="H6" s="179"/>
      <c r="I6" s="179"/>
      <c r="J6" s="179"/>
      <c r="K6" s="179"/>
      <c r="L6" s="179"/>
      <c r="M6" s="179"/>
      <c r="N6" s="179"/>
      <c r="O6" s="179"/>
      <c r="P6" s="179"/>
      <c r="Q6" s="179"/>
      <c r="R6" s="180"/>
    </row>
    <row r="7" spans="1:18" ht="17.100000000000001" customHeight="1">
      <c r="A7" s="176"/>
      <c r="B7" s="226" t="s">
        <v>515</v>
      </c>
      <c r="C7" s="227">
        <v>1</v>
      </c>
      <c r="D7" s="179"/>
      <c r="E7" s="179"/>
      <c r="F7" s="179"/>
      <c r="G7" s="179"/>
      <c r="H7" s="179"/>
      <c r="I7" s="179"/>
      <c r="J7" s="179"/>
      <c r="K7" s="179"/>
      <c r="L7" s="179"/>
      <c r="M7" s="179"/>
      <c r="N7" s="179"/>
      <c r="O7" s="179"/>
      <c r="P7" s="179"/>
      <c r="Q7" s="179"/>
      <c r="R7" s="180"/>
    </row>
    <row r="8" spans="1:18" ht="17.100000000000001" customHeight="1">
      <c r="A8" s="176"/>
      <c r="B8" s="183" t="s">
        <v>533</v>
      </c>
      <c r="C8" s="184">
        <v>1.25</v>
      </c>
      <c r="D8" s="179"/>
      <c r="E8" s="179"/>
      <c r="F8" s="179"/>
      <c r="G8" s="179"/>
      <c r="H8" s="179"/>
      <c r="I8" s="179"/>
      <c r="J8" s="179"/>
      <c r="K8" s="179"/>
      <c r="L8" s="179"/>
      <c r="M8" s="179"/>
      <c r="N8" s="179"/>
      <c r="O8" s="179"/>
      <c r="P8" s="179"/>
      <c r="Q8" s="179"/>
      <c r="R8" s="180"/>
    </row>
    <row r="9" spans="1:18" ht="17.100000000000001" customHeight="1">
      <c r="A9" s="176"/>
      <c r="B9" s="230" t="s">
        <v>517</v>
      </c>
      <c r="C9" s="231">
        <v>1.3</v>
      </c>
      <c r="D9" s="179"/>
      <c r="E9" s="179"/>
      <c r="F9" s="179"/>
      <c r="G9" s="179"/>
      <c r="H9" s="179"/>
      <c r="I9" s="179"/>
      <c r="J9" s="179"/>
      <c r="K9" s="179"/>
      <c r="L9" s="179"/>
      <c r="M9" s="179"/>
      <c r="N9" s="179"/>
      <c r="O9" s="179"/>
      <c r="P9" s="179"/>
      <c r="Q9" s="179"/>
      <c r="R9" s="180"/>
    </row>
    <row r="10" spans="1:18" ht="17.100000000000001" customHeight="1">
      <c r="A10" s="176"/>
      <c r="B10" s="179"/>
      <c r="C10" s="179"/>
      <c r="D10" s="179"/>
      <c r="E10" s="179"/>
      <c r="F10" s="179"/>
      <c r="G10" s="179"/>
      <c r="H10" s="179"/>
      <c r="I10" s="179"/>
      <c r="J10" s="179"/>
      <c r="K10" s="179"/>
      <c r="L10" s="179"/>
      <c r="M10" s="179"/>
      <c r="N10" s="179"/>
      <c r="O10" s="179"/>
      <c r="P10" s="179"/>
      <c r="Q10" s="179"/>
      <c r="R10" s="180"/>
    </row>
    <row r="11" spans="1:18" ht="17.100000000000001" customHeight="1">
      <c r="A11" s="187"/>
      <c r="B11" s="177" t="s">
        <v>86</v>
      </c>
      <c r="C11" s="178"/>
      <c r="D11" s="178"/>
      <c r="E11" s="178"/>
      <c r="F11" s="178"/>
      <c r="G11" s="178"/>
      <c r="H11" s="178"/>
      <c r="I11" s="178"/>
      <c r="J11" s="178"/>
      <c r="K11" s="178"/>
      <c r="L11" s="178"/>
      <c r="M11" s="178"/>
      <c r="N11" s="178"/>
      <c r="O11" s="178"/>
      <c r="P11" s="178"/>
      <c r="Q11" s="178"/>
      <c r="R11" s="188"/>
    </row>
    <row r="12" spans="1:18" ht="17.100000000000001" customHeight="1">
      <c r="A12" s="187"/>
      <c r="B12" s="181" t="s">
        <v>570</v>
      </c>
      <c r="C12" s="222" t="s">
        <v>572</v>
      </c>
      <c r="D12" s="228" t="s">
        <v>607</v>
      </c>
      <c r="E12" s="189" t="s">
        <v>573</v>
      </c>
      <c r="F12" s="182" t="s">
        <v>567</v>
      </c>
      <c r="G12" s="179"/>
      <c r="H12" s="178"/>
      <c r="I12" s="178"/>
      <c r="J12" s="178"/>
      <c r="K12" s="178"/>
      <c r="L12" s="178"/>
      <c r="M12" s="178"/>
      <c r="N12" s="178"/>
      <c r="O12" s="178"/>
      <c r="P12" s="178"/>
      <c r="Q12" s="178"/>
      <c r="R12" s="188"/>
    </row>
    <row r="13" spans="1:18" ht="17.100000000000001" customHeight="1">
      <c r="A13" s="190"/>
      <c r="B13" s="185" t="s">
        <v>580</v>
      </c>
      <c r="C13" s="223">
        <v>1.6</v>
      </c>
      <c r="D13" s="229">
        <v>1</v>
      </c>
      <c r="E13" s="191">
        <v>0.65</v>
      </c>
      <c r="F13" s="186">
        <v>0.54</v>
      </c>
      <c r="G13" s="192"/>
      <c r="H13" s="178"/>
      <c r="I13" s="178"/>
      <c r="J13" s="178"/>
      <c r="K13" s="178"/>
      <c r="L13" s="178"/>
      <c r="M13" s="178"/>
      <c r="N13" s="178"/>
      <c r="O13" s="178"/>
      <c r="P13" s="178"/>
      <c r="Q13" s="178"/>
      <c r="R13" s="188"/>
    </row>
    <row r="14" spans="1:18" ht="17.100000000000001" customHeight="1">
      <c r="A14" s="190"/>
      <c r="B14" s="178"/>
      <c r="C14" s="178"/>
      <c r="D14" s="178"/>
      <c r="E14" s="178"/>
      <c r="F14" s="178"/>
      <c r="G14" s="178"/>
      <c r="H14" s="178"/>
      <c r="I14" s="178"/>
      <c r="J14" s="178"/>
      <c r="K14" s="178"/>
      <c r="L14" s="178"/>
      <c r="M14" s="178"/>
      <c r="N14" s="178"/>
      <c r="O14" s="178"/>
      <c r="P14" s="178"/>
      <c r="Q14" s="178"/>
      <c r="R14" s="188"/>
    </row>
    <row r="15" spans="1:18" ht="17.100000000000001" customHeight="1">
      <c r="A15" s="190"/>
      <c r="B15" s="177" t="s">
        <v>92</v>
      </c>
      <c r="C15" s="178"/>
      <c r="D15" s="178"/>
      <c r="E15" s="178"/>
      <c r="F15" s="178"/>
      <c r="G15" s="178"/>
      <c r="H15" s="178"/>
      <c r="I15" s="178"/>
      <c r="J15" s="178"/>
      <c r="K15" s="178"/>
      <c r="L15" s="178"/>
      <c r="M15" s="178"/>
      <c r="N15" s="178"/>
      <c r="O15" s="178"/>
      <c r="P15" s="178"/>
      <c r="Q15" s="178"/>
      <c r="R15" s="188"/>
    </row>
    <row r="16" spans="1:18" ht="17.100000000000001" customHeight="1">
      <c r="A16" s="176"/>
      <c r="B16" s="181" t="s">
        <v>588</v>
      </c>
      <c r="C16" s="222" t="s">
        <v>542</v>
      </c>
      <c r="D16" s="189" t="s">
        <v>513</v>
      </c>
      <c r="E16" s="189" t="s">
        <v>518</v>
      </c>
      <c r="F16" s="189" t="s">
        <v>516</v>
      </c>
      <c r="G16" s="182" t="s">
        <v>520</v>
      </c>
      <c r="H16" s="178"/>
      <c r="I16" s="193"/>
      <c r="J16" s="178"/>
      <c r="K16" s="178"/>
      <c r="L16" s="178"/>
      <c r="M16" s="178"/>
      <c r="N16" s="178"/>
      <c r="O16" s="178"/>
      <c r="P16" s="178"/>
      <c r="Q16" s="178"/>
      <c r="R16" s="188"/>
    </row>
    <row r="17" spans="1:18" ht="17.100000000000001" customHeight="1">
      <c r="A17" s="194"/>
      <c r="B17" s="185" t="s">
        <v>580</v>
      </c>
      <c r="C17" s="223">
        <v>1.8</v>
      </c>
      <c r="D17" s="191">
        <v>1.2</v>
      </c>
      <c r="E17" s="191">
        <v>1</v>
      </c>
      <c r="F17" s="191">
        <v>0.93</v>
      </c>
      <c r="G17" s="186">
        <v>0.9</v>
      </c>
      <c r="H17" s="178"/>
      <c r="I17" s="193"/>
      <c r="J17" s="178"/>
      <c r="K17" s="178"/>
      <c r="L17" s="178"/>
      <c r="M17" s="178"/>
      <c r="N17" s="178"/>
      <c r="O17" s="178"/>
      <c r="P17" s="178"/>
      <c r="Q17" s="178"/>
      <c r="R17" s="188"/>
    </row>
    <row r="18" spans="1:18" ht="17.100000000000001" customHeight="1">
      <c r="A18" s="194"/>
      <c r="B18" s="195"/>
      <c r="C18" s="195"/>
      <c r="D18" s="192"/>
      <c r="E18" s="195"/>
      <c r="F18" s="195"/>
      <c r="G18" s="195"/>
      <c r="H18" s="178"/>
      <c r="I18" s="178"/>
      <c r="J18" s="178"/>
      <c r="K18" s="178"/>
      <c r="L18" s="178"/>
      <c r="M18" s="178"/>
      <c r="N18" s="178"/>
      <c r="O18" s="178"/>
      <c r="P18" s="178"/>
      <c r="Q18" s="178"/>
      <c r="R18" s="188"/>
    </row>
    <row r="19" spans="1:18" ht="17.100000000000001" customHeight="1">
      <c r="A19" s="194"/>
      <c r="B19" s="177" t="s">
        <v>87</v>
      </c>
      <c r="C19" s="195"/>
      <c r="D19" s="192"/>
      <c r="E19" s="195"/>
      <c r="F19" s="195"/>
      <c r="G19" s="193" t="s">
        <v>803</v>
      </c>
      <c r="H19" s="193"/>
      <c r="I19" s="178"/>
      <c r="J19" s="178"/>
      <c r="K19" s="178"/>
      <c r="L19" s="178"/>
      <c r="M19" s="178"/>
      <c r="N19" s="178"/>
      <c r="O19" s="178"/>
      <c r="P19" s="178"/>
      <c r="Q19" s="178"/>
      <c r="R19" s="188"/>
    </row>
    <row r="20" spans="1:18" ht="17.100000000000001" customHeight="1">
      <c r="A20" s="194"/>
      <c r="B20" s="181" t="s">
        <v>593</v>
      </c>
      <c r="C20" s="222" t="s">
        <v>619</v>
      </c>
      <c r="D20" s="182" t="s">
        <v>600</v>
      </c>
      <c r="E20" s="195"/>
      <c r="F20" s="195"/>
      <c r="G20" s="193" t="s">
        <v>2</v>
      </c>
      <c r="H20" s="193"/>
      <c r="I20" s="178"/>
      <c r="J20" s="178"/>
      <c r="K20" s="178"/>
      <c r="L20" s="178"/>
      <c r="M20" s="178"/>
      <c r="N20" s="178"/>
      <c r="O20" s="178"/>
      <c r="P20" s="178"/>
      <c r="Q20" s="178"/>
      <c r="R20" s="188"/>
    </row>
    <row r="21" spans="1:18" ht="17.100000000000001" customHeight="1">
      <c r="A21" s="194"/>
      <c r="B21" s="185" t="s">
        <v>453</v>
      </c>
      <c r="C21" s="223">
        <v>1</v>
      </c>
      <c r="D21" s="186">
        <v>1.25</v>
      </c>
      <c r="E21" s="195"/>
      <c r="F21" s="195"/>
      <c r="G21" s="196" t="s">
        <v>526</v>
      </c>
      <c r="H21" s="179">
        <v>0.8</v>
      </c>
      <c r="I21" s="179" t="s">
        <v>524</v>
      </c>
      <c r="J21" s="197">
        <v>2</v>
      </c>
      <c r="K21" s="781">
        <f>B25</f>
        <v>1000</v>
      </c>
      <c r="L21" s="781"/>
      <c r="M21" s="198">
        <v>1.8</v>
      </c>
      <c r="N21" s="178"/>
      <c r="O21" s="178"/>
      <c r="P21" s="178"/>
      <c r="Q21" s="178"/>
      <c r="R21" s="188"/>
    </row>
    <row r="22" spans="1:18" ht="17.100000000000001" customHeight="1">
      <c r="A22" s="194"/>
      <c r="B22" s="195"/>
      <c r="C22" s="192"/>
      <c r="D22" s="195"/>
      <c r="E22" s="195"/>
      <c r="F22" s="195"/>
      <c r="G22" s="195"/>
      <c r="H22" s="178"/>
      <c r="I22" s="178"/>
      <c r="J22" s="178"/>
      <c r="K22" s="178"/>
      <c r="L22" s="178"/>
      <c r="M22" s="178"/>
      <c r="N22" s="178"/>
      <c r="O22" s="178"/>
      <c r="P22" s="178"/>
      <c r="Q22" s="178"/>
      <c r="R22" s="188"/>
    </row>
    <row r="23" spans="1:18" ht="17.100000000000001" customHeight="1">
      <c r="A23" s="194"/>
      <c r="B23" s="177" t="s">
        <v>32</v>
      </c>
      <c r="C23" s="192"/>
      <c r="D23" s="195"/>
      <c r="E23" s="195"/>
      <c r="F23" s="195"/>
      <c r="G23" s="195"/>
      <c r="H23" s="178"/>
      <c r="I23" s="178"/>
      <c r="J23" s="178"/>
      <c r="K23" s="178"/>
      <c r="L23" s="178"/>
      <c r="M23" s="178"/>
      <c r="N23" s="178"/>
      <c r="O23" s="178"/>
      <c r="P23" s="178"/>
      <c r="Q23" s="178"/>
      <c r="R23" s="188"/>
    </row>
    <row r="24" spans="1:18" ht="17.100000000000001" customHeight="1">
      <c r="A24" s="194"/>
      <c r="B24" s="224" t="s">
        <v>597</v>
      </c>
      <c r="C24" s="199" t="s">
        <v>611</v>
      </c>
      <c r="D24" s="176"/>
      <c r="E24" s="195"/>
      <c r="F24" s="195"/>
      <c r="G24" s="195"/>
      <c r="H24" s="178"/>
      <c r="I24" s="178"/>
      <c r="J24" s="178"/>
      <c r="K24" s="178"/>
      <c r="L24" s="178"/>
      <c r="M24" s="178"/>
      <c r="N24" s="178"/>
      <c r="O24" s="178"/>
      <c r="P24" s="178"/>
      <c r="Q24" s="178"/>
      <c r="R24" s="188"/>
    </row>
    <row r="25" spans="1:18" ht="17.100000000000001" customHeight="1">
      <c r="A25" s="176"/>
      <c r="B25" s="225">
        <v>1000</v>
      </c>
      <c r="C25" s="200">
        <f>B25/C30</f>
        <v>0.01</v>
      </c>
      <c r="D25" s="201"/>
      <c r="E25" s="178"/>
      <c r="F25" s="178"/>
      <c r="G25" s="178"/>
      <c r="H25" s="178"/>
      <c r="I25" s="178"/>
      <c r="J25" s="178"/>
      <c r="K25" s="178"/>
      <c r="L25" s="178"/>
      <c r="M25" s="178"/>
      <c r="N25" s="178"/>
      <c r="O25" s="178"/>
      <c r="P25" s="178"/>
      <c r="Q25" s="178"/>
      <c r="R25" s="188"/>
    </row>
    <row r="26" spans="1:18" ht="17.100000000000001" customHeight="1">
      <c r="A26" s="176"/>
      <c r="B26" s="202" t="s">
        <v>452</v>
      </c>
      <c r="C26" s="203">
        <v>2000</v>
      </c>
      <c r="D26" s="178"/>
      <c r="E26" s="178"/>
      <c r="F26" s="178"/>
      <c r="G26" s="178"/>
      <c r="H26" s="178"/>
      <c r="I26" s="178"/>
      <c r="J26" s="178"/>
      <c r="K26" s="178"/>
      <c r="L26" s="178"/>
      <c r="M26" s="178"/>
      <c r="N26" s="178"/>
      <c r="O26" s="178"/>
      <c r="P26" s="178"/>
      <c r="Q26" s="178"/>
      <c r="R26" s="188"/>
    </row>
    <row r="27" spans="1:18" ht="17.100000000000001" customHeight="1">
      <c r="A27" s="176"/>
      <c r="B27" s="202" t="s">
        <v>599</v>
      </c>
      <c r="C27" s="203">
        <v>70</v>
      </c>
      <c r="D27" s="178"/>
      <c r="E27" s="178"/>
      <c r="F27" s="178"/>
      <c r="G27" s="178"/>
      <c r="H27" s="178"/>
      <c r="I27" s="178"/>
      <c r="J27" s="178"/>
      <c r="K27" s="178"/>
      <c r="L27" s="178"/>
      <c r="M27" s="178"/>
      <c r="N27" s="178"/>
      <c r="O27" s="178"/>
      <c r="P27" s="178"/>
      <c r="Q27" s="178"/>
      <c r="R27" s="188"/>
    </row>
    <row r="28" spans="1:18" ht="17.100000000000001" customHeight="1">
      <c r="A28" s="176"/>
      <c r="B28" s="204"/>
      <c r="C28" s="205"/>
      <c r="D28" s="206"/>
      <c r="E28" s="206" t="s">
        <v>560</v>
      </c>
      <c r="F28" s="206"/>
      <c r="G28" s="206"/>
      <c r="H28" s="207">
        <f>C25</f>
        <v>0.01</v>
      </c>
      <c r="I28" s="205" t="s">
        <v>543</v>
      </c>
      <c r="J28" s="208">
        <f>C9</f>
        <v>1.3</v>
      </c>
      <c r="K28" s="205" t="s">
        <v>543</v>
      </c>
      <c r="L28" s="208">
        <f>C13</f>
        <v>1.6</v>
      </c>
      <c r="M28" s="205" t="s">
        <v>543</v>
      </c>
      <c r="N28" s="207">
        <f>M21</f>
        <v>1.8</v>
      </c>
      <c r="O28" s="205" t="s">
        <v>543</v>
      </c>
      <c r="P28" s="192">
        <f>C21</f>
        <v>1</v>
      </c>
      <c r="Q28" s="205" t="s">
        <v>536</v>
      </c>
      <c r="R28" s="209">
        <f>H28*J28*L28*N28*P28</f>
        <v>3.7440000000000008E-2</v>
      </c>
    </row>
    <row r="29" spans="1:18" ht="17.100000000000001" customHeight="1">
      <c r="A29" s="210"/>
      <c r="B29" s="211"/>
      <c r="C29" s="212"/>
      <c r="D29" s="213"/>
      <c r="E29" s="213"/>
      <c r="F29" s="213"/>
      <c r="G29" s="782" t="s">
        <v>620</v>
      </c>
      <c r="H29" s="782"/>
      <c r="I29" s="214"/>
      <c r="J29" s="214" t="s">
        <v>538</v>
      </c>
      <c r="K29" s="214"/>
      <c r="L29" s="214" t="s">
        <v>545</v>
      </c>
      <c r="M29" s="214"/>
      <c r="N29" s="214" t="s">
        <v>539</v>
      </c>
      <c r="O29" s="214"/>
      <c r="P29" s="214" t="s">
        <v>541</v>
      </c>
      <c r="Q29" s="213"/>
      <c r="R29" s="215"/>
    </row>
    <row r="30" spans="1:18">
      <c r="C30" s="104">
        <v>100000</v>
      </c>
    </row>
    <row r="31" spans="1:18">
      <c r="C31" s="104" t="s">
        <v>589</v>
      </c>
    </row>
  </sheetData>
  <mergeCells count="3">
    <mergeCell ref="A1:R1"/>
    <mergeCell ref="K21:L21"/>
    <mergeCell ref="G29:H29"/>
  </mergeCells>
  <phoneticPr fontId="87" type="noConversion"/>
  <pageMargins left="0.69986110925674438" right="0.69986110925674438" top="0.75" bottom="0.75" header="0.30000001192092896" footer="0.30000001192092896"/>
  <pageSetup paperSize="9" scale="95" orientation="landscape" r:id="rId1"/>
</worksheet>
</file>

<file path=docProps/app.xml><?xml version="1.0" encoding="utf-8"?>
<Properties xmlns="http://schemas.openxmlformats.org/officeDocument/2006/extended-properties" xmlns:vt="http://schemas.openxmlformats.org/officeDocument/2006/docPropsVTypes">
  <TotalTime>30</TotalTime>
  <Application>Microsoft Excel</Application>
  <DocSecurity>0</DocSecurity>
  <ScaleCrop>false</ScaleCrop>
  <HeadingPairs>
    <vt:vector size="4" baseType="variant">
      <vt:variant>
        <vt:lpstr>워크시트</vt:lpstr>
      </vt:variant>
      <vt:variant>
        <vt:i4>14</vt:i4>
      </vt:variant>
      <vt:variant>
        <vt:lpstr>이름 지정된 범위</vt:lpstr>
      </vt:variant>
      <vt:variant>
        <vt:i4>4</vt:i4>
      </vt:variant>
    </vt:vector>
  </HeadingPairs>
  <TitlesOfParts>
    <vt:vector size="18" baseType="lpstr">
      <vt:lpstr>data</vt:lpstr>
      <vt:lpstr>겉표지</vt:lpstr>
      <vt:lpstr>표지</vt:lpstr>
      <vt:lpstr>예정공정표</vt:lpstr>
      <vt:lpstr>용역 설명서</vt:lpstr>
      <vt:lpstr>Sheet3</vt:lpstr>
      <vt:lpstr>설계용역내역서</vt:lpstr>
      <vt:lpstr>산출근거표지</vt:lpstr>
      <vt:lpstr>산근1(실시설계요율)</vt:lpstr>
      <vt:lpstr>산근2(실시설계요율 3천 이하)</vt:lpstr>
      <vt:lpstr>기초1(요율적용기준) </vt:lpstr>
      <vt:lpstr>산근2(손해보험공제요율)</vt:lpstr>
      <vt:lpstr>기초2(손해배상공제요율)</vt:lpstr>
      <vt:lpstr>산근1(현황측량)</vt:lpstr>
      <vt:lpstr>'기초2(손해배상공제요율)'!Print_Area</vt:lpstr>
      <vt:lpstr>'산근1(실시설계요율)'!Print_Area</vt:lpstr>
      <vt:lpstr>'산근1(현황측량)'!Print_Area</vt:lpstr>
      <vt:lpstr>'산근2(손해보험공제요율)'!Print_Area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김태익</dc:creator>
  <cp:lastModifiedBy>태익 김</cp:lastModifiedBy>
  <cp:revision>5</cp:revision>
  <cp:lastPrinted>2025-11-22T08:44:46Z</cp:lastPrinted>
  <dcterms:created xsi:type="dcterms:W3CDTF">1999-10-27T00:53:55Z</dcterms:created>
  <dcterms:modified xsi:type="dcterms:W3CDTF">2025-12-12T01:30:29Z</dcterms:modified>
  <cp:version>1200.0100.01</cp:version>
</cp:coreProperties>
</file>