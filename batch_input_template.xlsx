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gram Files (x86)\국가유산수리 설계대가 계산 프로그램\data\"/>
    </mc:Choice>
  </mc:AlternateContent>
  <xr:revisionPtr revIDLastSave="0" documentId="13_ncr:1_{F9E78906-B4A3-4E6C-B8EB-7F74187B4FC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tch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1" l="1"/>
  <c r="K20" i="1"/>
  <c r="K21" i="1"/>
  <c r="K22" i="1"/>
  <c r="K23" i="1"/>
  <c r="K24" i="1"/>
  <c r="K25" i="1"/>
  <c r="K26" i="1"/>
  <c r="K27" i="1"/>
  <c r="K28" i="1"/>
  <c r="K29" i="1"/>
  <c r="K30" i="1"/>
  <c r="K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/>
  </authors>
  <commentList>
    <comment ref="I1" authorId="0" shapeId="0" xr:uid="{D5538AF4-FCBF-4CB1-90A2-5AE7D56E90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1" shapeId="0" xr:uid="{00000000-0006-0000-0000-000001000000}">
      <text>
        <r>
          <rPr>
            <sz val="11"/>
            <rFont val="맑은 고딕"/>
            <family val="3"/>
            <charset val="129"/>
            <scheme val="minor"/>
          </rPr>
          <t>user:
천원미만 절사
만원미만 절사</t>
        </r>
      </text>
    </comment>
  </commentList>
</comments>
</file>

<file path=xl/sharedStrings.xml><?xml version="1.0" encoding="utf-8"?>
<sst xmlns="http://schemas.openxmlformats.org/spreadsheetml/2006/main" count="78" uniqueCount="61">
  <si>
    <t>국가유산명</t>
  </si>
  <si>
    <t>용역명</t>
  </si>
  <si>
    <t>총사업비</t>
  </si>
  <si>
    <t>용역기간</t>
  </si>
  <si>
    <t>설계난이도</t>
  </si>
  <si>
    <t>과업범위</t>
  </si>
  <si>
    <t>설계내용</t>
  </si>
  <si>
    <t>지침</t>
  </si>
  <si>
    <t>설계용역시행연월</t>
  </si>
  <si>
    <t>공사종류(보험)</t>
  </si>
  <si>
    <t>표준공사기간(일)</t>
  </si>
  <si>
    <t>실제공사기간(일)</t>
  </si>
  <si>
    <t>절사단위</t>
  </si>
  <si>
    <t>보통</t>
  </si>
  <si>
    <t>실시설계</t>
  </si>
  <si>
    <t>천원미만 절사</t>
  </si>
  <si>
    <t>난이도</t>
  </si>
  <si>
    <t>공사종류</t>
  </si>
  <si>
    <t>복잡</t>
  </si>
  <si>
    <t>기본(관람집회시설공사)</t>
  </si>
  <si>
    <t>교량공사</t>
  </si>
  <si>
    <t>만원미만 절사</t>
  </si>
  <si>
    <t>단순</t>
  </si>
  <si>
    <t>공항건설공사</t>
  </si>
  <si>
    <t>댐축조공사</t>
  </si>
  <si>
    <t>도로공사</t>
  </si>
  <si>
    <t>에너지저장시설공사</t>
  </si>
  <si>
    <t>간척공사</t>
  </si>
  <si>
    <t>항만공사</t>
  </si>
  <si>
    <t>철도공사</t>
  </si>
  <si>
    <t>지하철공사</t>
  </si>
  <si>
    <t>터널공사</t>
  </si>
  <si>
    <t>발전소건설공사</t>
  </si>
  <si>
    <t>쓰레기소각로건설공사</t>
  </si>
  <si>
    <t>폐수처리장건설공사</t>
  </si>
  <si>
    <t>하수종말처리장건설공사</t>
  </si>
  <si>
    <t>상수도(정수장포함)건설공사</t>
  </si>
  <si>
    <t>하수도건설공사</t>
  </si>
  <si>
    <t>관람집회시설공사</t>
  </si>
  <si>
    <t>전시시설공사</t>
  </si>
  <si>
    <t>공용청사건설공사</t>
  </si>
  <si>
    <t>송전공사</t>
  </si>
  <si>
    <t>변전공사</t>
  </si>
  <si>
    <t>공동주택건설공사</t>
  </si>
  <si>
    <t>보령향교</t>
    <phoneticPr fontId="7" type="noConversion"/>
  </si>
  <si>
    <t>보령성곽</t>
    <phoneticPr fontId="7" type="noConversion"/>
  </si>
  <si>
    <t>보령성곽 보령성곽 웅덩이 복토 등 주변정비</t>
  </si>
  <si>
    <t>보령 외연도 상록수림</t>
  </si>
  <si>
    <t>보통</t>
    <phoneticPr fontId="6" type="noConversion"/>
  </si>
  <si>
    <t>실시설계</t>
    <phoneticPr fontId="6" type="noConversion"/>
  </si>
  <si>
    <t>보령향교 담장 보수 및 주변 배수로 정비</t>
    <phoneticPr fontId="6" type="noConversion"/>
  </si>
  <si>
    <t>담장 보수 및 주변 배수로 정비</t>
  </si>
  <si>
    <t>웅덩이 복토 등 주변정비</t>
    <phoneticPr fontId="6" type="noConversion"/>
  </si>
  <si>
    <t>보령 외연도 상록수림 식생정비</t>
    <phoneticPr fontId="6" type="noConversion"/>
  </si>
  <si>
    <t>식생정비</t>
    <phoneticPr fontId="6" type="noConversion"/>
  </si>
  <si>
    <t>2026년 국가지정문화유산 보수정비사업 지침</t>
    <phoneticPr fontId="6" type="noConversion"/>
  </si>
  <si>
    <t>표준공사기간선택</t>
    <phoneticPr fontId="6" type="noConversion"/>
  </si>
  <si>
    <t>아산 공세리 성당</t>
    <phoneticPr fontId="7" type="noConversion"/>
  </si>
  <si>
    <t>아산 공세리 성당 공세리성당 수목정비</t>
  </si>
  <si>
    <t>80,00,0000</t>
    <phoneticPr fontId="6" type="noConversion"/>
  </si>
  <si>
    <t>공세리성당 수목정비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</si>
</sst>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"/>
  </numFmts>
  <fonts count="12">
    <font>
      <sz val="11"/>
      <name val="맑은 고딕"/>
      <scheme val="minor"/>
    </font>
    <font>
      <sz val="11"/>
      <name val="Malgun Gothic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4" fillId="0" borderId="0" applyFont="0" applyFill="0" applyBorder="0" applyAlignment="0" applyProtection="0">
      <alignment vertical="center"/>
    </xf>
    <xf numFmtId="0" fontId="9" fillId="0" borderId="0"/>
    <xf numFmtId="41" fontId="9" fillId="0" borderId="0" applyFont="0" applyFill="0" applyBorder="0" applyAlignment="0" applyProtection="0"/>
  </cellStyleXfs>
  <cellXfs count="13">
    <xf numFmtId="0" fontId="0" fillId="0" borderId="0" xfId="0" applyFont="1" applyAlignment="1"/>
    <xf numFmtId="0" fontId="1" fillId="0" borderId="1" xfId="0" applyFont="1" applyBorder="1"/>
    <xf numFmtId="0" fontId="2" fillId="0" borderId="0" xfId="0" applyFont="1" applyAlignment="1"/>
    <xf numFmtId="0" fontId="5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76" fontId="1" fillId="0" borderId="1" xfId="0" applyNumberFormat="1" applyFont="1" applyBorder="1"/>
    <xf numFmtId="0" fontId="3" fillId="0" borderId="0" xfId="0" applyFont="1" applyAlignment="1"/>
    <xf numFmtId="0" fontId="5" fillId="0" borderId="2" xfId="2" applyFont="1" applyBorder="1" applyAlignment="1">
      <alignment horizontal="center" vertical="center" wrapText="1"/>
    </xf>
    <xf numFmtId="41" fontId="5" fillId="0" borderId="2" xfId="3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41" fontId="1" fillId="0" borderId="1" xfId="1" applyFont="1" applyBorder="1" applyAlignment="1">
      <alignment horizontal="right"/>
    </xf>
    <xf numFmtId="0" fontId="0" fillId="0" borderId="0" xfId="0" applyFont="1" applyAlignment="1">
      <alignment horizontal="right"/>
    </xf>
  </cellXfs>
  <cellStyles count="4">
    <cellStyle name="쉼표 [0]" xfId="1" builtinId="6"/>
    <cellStyle name="쉼표 [0] 2" xfId="3" xr:uid="{FBEA715F-A614-4846-98A6-C7443FF7D4F9}"/>
    <cellStyle name="표준" xfId="0" builtinId="0"/>
    <cellStyle name="표준 2" xfId="2" xr:uid="{E7026AF4-4502-46FD-BEB6-A48C580A7E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workbookViewId="0">
      <selection activeCell="C4" sqref="C4"/>
    </sheetView>
  </sheetViews>
  <sheetFormatPr defaultColWidth="14.375" defaultRowHeight="15" customHeight="1"/>
  <cols>
    <col min="1" max="1" width="16.625" customWidth="1"/>
    <col min="2" max="2" width="44.875" customWidth="1"/>
    <col min="3" max="3" width="16.625" style="12" customWidth="1"/>
    <col min="4" max="6" width="16.625" customWidth="1"/>
    <col min="7" max="7" width="32.625" customWidth="1"/>
    <col min="8" max="9" width="16.625" customWidth="1"/>
    <col min="10" max="10" width="27.25" customWidth="1"/>
    <col min="11" max="13" width="16.625" customWidth="1"/>
  </cols>
  <sheetData>
    <row r="1" spans="1:13" ht="16.5" customHeight="1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customHeight="1">
      <c r="A2" s="3" t="s">
        <v>44</v>
      </c>
      <c r="B2" s="1" t="s">
        <v>50</v>
      </c>
      <c r="C2" s="11">
        <v>100000000</v>
      </c>
      <c r="D2" s="1">
        <v>50</v>
      </c>
      <c r="E2" s="1" t="s">
        <v>22</v>
      </c>
      <c r="F2" s="1" t="s">
        <v>14</v>
      </c>
      <c r="G2" s="1" t="s">
        <v>51</v>
      </c>
      <c r="H2" s="1" t="s">
        <v>55</v>
      </c>
      <c r="I2" s="5">
        <v>46023</v>
      </c>
      <c r="J2" s="1" t="s">
        <v>19</v>
      </c>
      <c r="K2" s="1">
        <v>1095</v>
      </c>
      <c r="L2" s="1">
        <v>80</v>
      </c>
      <c r="M2" s="1" t="s">
        <v>15</v>
      </c>
    </row>
    <row r="3" spans="1:13" ht="16.5" customHeight="1">
      <c r="A3" s="3" t="s">
        <v>45</v>
      </c>
      <c r="B3" s="1" t="s">
        <v>46</v>
      </c>
      <c r="C3" s="11">
        <v>60000000</v>
      </c>
      <c r="D3" s="1">
        <v>50</v>
      </c>
      <c r="E3" s="1" t="s">
        <v>22</v>
      </c>
      <c r="F3" s="1" t="s">
        <v>14</v>
      </c>
      <c r="G3" s="1" t="s">
        <v>52</v>
      </c>
      <c r="H3" s="1" t="s">
        <v>55</v>
      </c>
      <c r="I3" s="5">
        <v>46024</v>
      </c>
      <c r="J3" s="1" t="s">
        <v>19</v>
      </c>
      <c r="K3" s="1">
        <v>1095</v>
      </c>
      <c r="L3" s="1">
        <v>60</v>
      </c>
      <c r="M3" s="1" t="s">
        <v>15</v>
      </c>
    </row>
    <row r="4" spans="1:13" ht="16.5" customHeight="1">
      <c r="A4" s="4" t="s">
        <v>47</v>
      </c>
      <c r="B4" s="1" t="s">
        <v>53</v>
      </c>
      <c r="C4" s="11">
        <v>100000000</v>
      </c>
      <c r="D4" s="1">
        <v>40</v>
      </c>
      <c r="E4" s="1" t="s">
        <v>48</v>
      </c>
      <c r="F4" s="1" t="s">
        <v>49</v>
      </c>
      <c r="G4" s="1" t="s">
        <v>54</v>
      </c>
      <c r="H4" s="1" t="s">
        <v>55</v>
      </c>
      <c r="I4" s="5">
        <v>46025</v>
      </c>
      <c r="J4" s="1" t="s">
        <v>19</v>
      </c>
      <c r="K4" s="1">
        <v>1095</v>
      </c>
      <c r="L4" s="1">
        <v>50</v>
      </c>
      <c r="M4" s="1" t="s">
        <v>15</v>
      </c>
    </row>
    <row r="5" spans="1:13" ht="16.5" customHeight="1">
      <c r="A5" s="7" t="s">
        <v>57</v>
      </c>
      <c r="B5" s="1" t="s">
        <v>58</v>
      </c>
      <c r="C5" s="11" t="s">
        <v>59</v>
      </c>
      <c r="D5" s="1">
        <v>60</v>
      </c>
      <c r="E5" s="1" t="s">
        <v>48</v>
      </c>
      <c r="F5" s="1" t="s">
        <v>49</v>
      </c>
      <c r="G5" s="1" t="s">
        <v>60</v>
      </c>
      <c r="H5" s="1" t="s">
        <v>55</v>
      </c>
      <c r="I5" s="5">
        <v>46025</v>
      </c>
      <c r="J5" s="1" t="s">
        <v>19</v>
      </c>
      <c r="K5" s="1">
        <v>1095</v>
      </c>
      <c r="L5" s="1">
        <v>70</v>
      </c>
      <c r="M5" s="1" t="s">
        <v>15</v>
      </c>
    </row>
    <row r="6" spans="1:13" ht="16.5" customHeight="1">
      <c r="A6" s="7"/>
      <c r="B6" s="1"/>
      <c r="C6" s="11"/>
      <c r="D6" s="1"/>
      <c r="E6" s="1"/>
      <c r="F6" s="1"/>
      <c r="G6" s="1"/>
      <c r="H6" s="1"/>
      <c r="I6" s="5"/>
      <c r="J6" s="1"/>
      <c r="K6" s="1"/>
      <c r="L6" s="1"/>
      <c r="M6" s="1"/>
    </row>
    <row r="7" spans="1:13" ht="16.5" customHeight="1">
      <c r="A7" s="8"/>
      <c r="B7" s="1"/>
      <c r="C7" s="11"/>
      <c r="D7" s="1"/>
      <c r="E7" s="1"/>
      <c r="F7" s="1"/>
      <c r="G7" s="1"/>
      <c r="H7" s="1"/>
      <c r="I7" s="5"/>
      <c r="J7" s="1"/>
      <c r="K7" s="1"/>
      <c r="L7" s="1"/>
      <c r="M7" s="1"/>
    </row>
    <row r="8" spans="1:13" ht="16.5" customHeight="1">
      <c r="A8" s="7"/>
      <c r="B8" s="1"/>
      <c r="C8" s="11"/>
      <c r="D8" s="1"/>
      <c r="E8" s="1"/>
      <c r="F8" s="1"/>
      <c r="G8" s="1"/>
      <c r="H8" s="1"/>
      <c r="I8" s="5"/>
      <c r="J8" s="1"/>
      <c r="K8" s="1"/>
      <c r="L8" s="1"/>
      <c r="M8" s="1"/>
    </row>
    <row r="9" spans="1:13" ht="16.5" customHeight="1">
      <c r="A9" s="8"/>
      <c r="B9" s="1"/>
      <c r="C9" s="11"/>
      <c r="D9" s="1"/>
      <c r="E9" s="1"/>
      <c r="F9" s="1"/>
      <c r="G9" s="1"/>
      <c r="H9" s="1"/>
      <c r="I9" s="5"/>
      <c r="J9" s="1"/>
      <c r="K9" s="1"/>
      <c r="L9" s="1"/>
      <c r="M9" s="1"/>
    </row>
    <row r="10" spans="1:13" ht="16.5" customHeight="1">
      <c r="A10" s="7"/>
      <c r="B10" s="1"/>
      <c r="C10" s="11"/>
      <c r="D10" s="1"/>
      <c r="E10" s="1"/>
      <c r="F10" s="1"/>
      <c r="G10" s="1"/>
      <c r="H10" s="1"/>
      <c r="I10" s="5"/>
      <c r="J10" s="1"/>
      <c r="K10" s="1"/>
      <c r="L10" s="1"/>
      <c r="M10" s="1"/>
    </row>
    <row r="11" spans="1:13" ht="16.5" customHeight="1">
      <c r="A11" s="9"/>
      <c r="B11" s="1"/>
      <c r="C11" s="11"/>
      <c r="D11" s="1"/>
      <c r="E11" s="1"/>
      <c r="F11" s="1"/>
      <c r="G11" s="1"/>
      <c r="H11" s="1"/>
      <c r="I11" s="5"/>
      <c r="J11" s="1"/>
      <c r="K11" s="1"/>
      <c r="L11" s="1"/>
      <c r="M11" s="1"/>
    </row>
    <row r="12" spans="1:13" ht="16.5" customHeight="1">
      <c r="A12" s="7"/>
      <c r="B12" s="1"/>
      <c r="C12" s="11"/>
      <c r="D12" s="1"/>
      <c r="E12" s="1"/>
      <c r="F12" s="1"/>
      <c r="G12" s="1"/>
      <c r="H12" s="1"/>
      <c r="I12" s="5"/>
      <c r="J12" s="1"/>
      <c r="K12" s="1"/>
      <c r="L12" s="1"/>
      <c r="M12" s="1"/>
    </row>
    <row r="13" spans="1:13" ht="16.5" customHeight="1">
      <c r="A13" s="7"/>
      <c r="B13" s="1"/>
      <c r="C13" s="11"/>
      <c r="D13" s="1"/>
      <c r="E13" s="1"/>
      <c r="F13" s="1"/>
      <c r="G13" s="1"/>
      <c r="H13" s="1"/>
      <c r="I13" s="5"/>
      <c r="J13" s="1"/>
      <c r="K13" s="1"/>
      <c r="L13" s="1"/>
      <c r="M13" s="1"/>
    </row>
    <row r="14" spans="1:13" ht="16.5" customHeight="1">
      <c r="A14" s="9"/>
      <c r="B14" s="1"/>
      <c r="C14" s="11"/>
      <c r="D14" s="1"/>
      <c r="E14" s="1"/>
      <c r="F14" s="1"/>
      <c r="G14" s="1"/>
      <c r="H14" s="1"/>
      <c r="I14" s="5"/>
      <c r="J14" s="1"/>
      <c r="K14" s="1"/>
      <c r="L14" s="1"/>
      <c r="M14" s="1"/>
    </row>
    <row r="15" spans="1:13" ht="16.5" customHeight="1">
      <c r="A15" s="7"/>
      <c r="B15" s="1"/>
      <c r="C15" s="11"/>
      <c r="D15" s="1"/>
      <c r="E15" s="1"/>
      <c r="F15" s="1"/>
      <c r="G15" s="1"/>
      <c r="H15" s="1"/>
      <c r="I15" s="5"/>
      <c r="J15" s="1"/>
      <c r="K15" s="1"/>
      <c r="L15" s="1"/>
      <c r="M15" s="1"/>
    </row>
    <row r="16" spans="1:13" ht="16.5" customHeight="1">
      <c r="A16" s="7"/>
      <c r="B16" s="1"/>
      <c r="C16" s="11"/>
      <c r="D16" s="1"/>
      <c r="E16" s="1"/>
      <c r="F16" s="1"/>
      <c r="G16" s="1"/>
      <c r="H16" s="1"/>
      <c r="I16" s="5"/>
      <c r="J16" s="1"/>
      <c r="K16" s="1"/>
      <c r="L16" s="1"/>
      <c r="M16" s="1"/>
    </row>
    <row r="17" spans="1:13" ht="16.5" customHeight="1">
      <c r="A17" s="7"/>
      <c r="B17" s="1"/>
      <c r="C17" s="11"/>
      <c r="D17" s="1"/>
      <c r="E17" s="1"/>
      <c r="F17" s="1"/>
      <c r="G17" s="1"/>
      <c r="H17" s="1"/>
      <c r="I17" s="5"/>
      <c r="J17" s="1"/>
      <c r="K17" s="1"/>
      <c r="L17" s="1"/>
      <c r="M17" s="1"/>
    </row>
    <row r="18" spans="1:13" ht="16.5" customHeight="1">
      <c r="A18" s="7"/>
      <c r="B18" s="1"/>
      <c r="C18" s="11"/>
      <c r="D18" s="1"/>
      <c r="E18" s="1"/>
      <c r="F18" s="1"/>
      <c r="G18" s="1"/>
      <c r="H18" s="1"/>
      <c r="I18" s="5"/>
      <c r="J18" s="1"/>
      <c r="K18" s="1"/>
      <c r="L18" s="1"/>
      <c r="M18" s="1"/>
    </row>
    <row r="19" spans="1:13" ht="16.5" customHeight="1">
      <c r="A19" s="1"/>
      <c r="B19" s="1"/>
      <c r="C19" s="10"/>
      <c r="D19" s="1"/>
      <c r="E19" s="1"/>
      <c r="F19" s="1"/>
      <c r="G19" s="1"/>
      <c r="H19" s="1"/>
      <c r="I19" s="5"/>
      <c r="J19" s="1"/>
      <c r="K19" s="1" t="str">
        <f>IFERROR(VLOOKUP(J19,Sheet1!$B$1:$C$24,2)*1,"")</f>
        <v/>
      </c>
      <c r="L19" s="1"/>
      <c r="M19" s="1"/>
    </row>
    <row r="20" spans="1:13" ht="16.5" customHeight="1">
      <c r="A20" s="1"/>
      <c r="B20" s="1"/>
      <c r="C20" s="10"/>
      <c r="D20" s="1"/>
      <c r="E20" s="1"/>
      <c r="F20" s="1"/>
      <c r="G20" s="1"/>
      <c r="H20" s="1"/>
      <c r="I20" s="5"/>
      <c r="J20" s="1"/>
      <c r="K20" s="1" t="str">
        <f>IFERROR(VLOOKUP(J20,Sheet1!$B$1:$C$24,2)*1,"")</f>
        <v/>
      </c>
      <c r="L20" s="1"/>
      <c r="M20" s="1"/>
    </row>
    <row r="21" spans="1:13" ht="16.5" customHeight="1">
      <c r="A21" s="1"/>
      <c r="B21" s="1"/>
      <c r="C21" s="10"/>
      <c r="D21" s="1"/>
      <c r="E21" s="1"/>
      <c r="F21" s="1"/>
      <c r="G21" s="1"/>
      <c r="H21" s="1"/>
      <c r="I21" s="5"/>
      <c r="J21" s="1"/>
      <c r="K21" s="1" t="str">
        <f>IFERROR(VLOOKUP(J21,Sheet1!$B$1:$C$24,2)*1,"")</f>
        <v/>
      </c>
      <c r="L21" s="1"/>
      <c r="M21" s="1"/>
    </row>
    <row r="22" spans="1:13" ht="16.5" customHeight="1">
      <c r="A22" s="1"/>
      <c r="B22" s="1"/>
      <c r="C22" s="10"/>
      <c r="D22" s="1"/>
      <c r="E22" s="1"/>
      <c r="F22" s="1"/>
      <c r="G22" s="1"/>
      <c r="H22" s="1"/>
      <c r="I22" s="5"/>
      <c r="J22" s="1"/>
      <c r="K22" s="1" t="str">
        <f>IFERROR(VLOOKUP(J22,Sheet1!$B$1:$C$24,2)*1,"")</f>
        <v/>
      </c>
      <c r="L22" s="1"/>
      <c r="M22" s="1"/>
    </row>
    <row r="23" spans="1:13" ht="16.5" customHeight="1">
      <c r="A23" s="1"/>
      <c r="B23" s="1"/>
      <c r="C23" s="10"/>
      <c r="D23" s="1"/>
      <c r="E23" s="1"/>
      <c r="F23" s="1"/>
      <c r="G23" s="1"/>
      <c r="H23" s="1"/>
      <c r="I23" s="5"/>
      <c r="J23" s="1"/>
      <c r="K23" s="1" t="str">
        <f>IFERROR(VLOOKUP(J23,Sheet1!$B$1:$C$24,2)*1,"")</f>
        <v/>
      </c>
      <c r="L23" s="1"/>
      <c r="M23" s="1"/>
    </row>
    <row r="24" spans="1:13" ht="16.5" customHeight="1">
      <c r="A24" s="1"/>
      <c r="B24" s="1"/>
      <c r="C24" s="10"/>
      <c r="D24" s="1"/>
      <c r="E24" s="1"/>
      <c r="F24" s="1"/>
      <c r="G24" s="1"/>
      <c r="H24" s="1"/>
      <c r="I24" s="5"/>
      <c r="J24" s="1"/>
      <c r="K24" s="1" t="str">
        <f>IFERROR(VLOOKUP(J24,Sheet1!$B$1:$C$24,2)*1,"")</f>
        <v/>
      </c>
      <c r="L24" s="1"/>
      <c r="M24" s="1"/>
    </row>
    <row r="25" spans="1:13" ht="16.5" customHeight="1">
      <c r="A25" s="1"/>
      <c r="B25" s="1"/>
      <c r="C25" s="10"/>
      <c r="D25" s="1"/>
      <c r="E25" s="1"/>
      <c r="F25" s="1"/>
      <c r="G25" s="1"/>
      <c r="H25" s="1"/>
      <c r="I25" s="5"/>
      <c r="J25" s="1"/>
      <c r="K25" s="1" t="str">
        <f>IFERROR(VLOOKUP(J25,Sheet1!$B$1:$C$24,2)*1,"")</f>
        <v/>
      </c>
      <c r="L25" s="1"/>
      <c r="M25" s="1"/>
    </row>
    <row r="26" spans="1:13" ht="16.5" customHeight="1">
      <c r="A26" s="1"/>
      <c r="B26" s="1"/>
      <c r="C26" s="10"/>
      <c r="D26" s="1"/>
      <c r="E26" s="1"/>
      <c r="F26" s="1"/>
      <c r="G26" s="1"/>
      <c r="H26" s="1"/>
      <c r="I26" s="5"/>
      <c r="J26" s="1"/>
      <c r="K26" s="1" t="str">
        <f>IFERROR(VLOOKUP(J26,Sheet1!$B$1:$C$24,2)*1,"")</f>
        <v/>
      </c>
      <c r="L26" s="1"/>
      <c r="M26" s="1"/>
    </row>
    <row r="27" spans="1:13" ht="16.5" customHeight="1">
      <c r="A27" s="1"/>
      <c r="B27" s="1"/>
      <c r="C27" s="10"/>
      <c r="D27" s="1"/>
      <c r="E27" s="1"/>
      <c r="F27" s="1"/>
      <c r="G27" s="1"/>
      <c r="H27" s="1"/>
      <c r="I27" s="5"/>
      <c r="J27" s="1"/>
      <c r="K27" s="1" t="str">
        <f>IFERROR(VLOOKUP(J27,Sheet1!$B$1:$C$24,2)*1,"")</f>
        <v/>
      </c>
      <c r="L27" s="1"/>
      <c r="M27" s="1"/>
    </row>
    <row r="28" spans="1:13" ht="16.5" customHeight="1">
      <c r="A28" s="1"/>
      <c r="B28" s="1"/>
      <c r="C28" s="10"/>
      <c r="D28" s="1"/>
      <c r="E28" s="1"/>
      <c r="F28" s="1"/>
      <c r="G28" s="1"/>
      <c r="H28" s="1"/>
      <c r="I28" s="5"/>
      <c r="J28" s="1"/>
      <c r="K28" s="1" t="str">
        <f>IFERROR(VLOOKUP(J28,Sheet1!$B$1:$C$24,2)*1,"")</f>
        <v/>
      </c>
      <c r="L28" s="1"/>
      <c r="M28" s="1"/>
    </row>
    <row r="29" spans="1:13" ht="16.5" customHeight="1">
      <c r="A29" s="1"/>
      <c r="B29" s="1"/>
      <c r="C29" s="10"/>
      <c r="D29" s="1"/>
      <c r="E29" s="1"/>
      <c r="F29" s="1"/>
      <c r="G29" s="1"/>
      <c r="H29" s="1"/>
      <c r="I29" s="5"/>
      <c r="J29" s="1"/>
      <c r="K29" s="1" t="str">
        <f>IFERROR(VLOOKUP(J29,Sheet1!$B$1:$C$24,2)*1,"")</f>
        <v/>
      </c>
      <c r="L29" s="1"/>
      <c r="M29" s="1"/>
    </row>
    <row r="30" spans="1:13" ht="16.5" customHeight="1">
      <c r="A30" s="1"/>
      <c r="B30" s="1"/>
      <c r="C30" s="10"/>
      <c r="D30" s="1"/>
      <c r="E30" s="1"/>
      <c r="F30" s="1"/>
      <c r="G30" s="1"/>
      <c r="H30" s="1"/>
      <c r="I30" s="5"/>
      <c r="J30" s="1"/>
      <c r="K30" s="1" t="str">
        <f>IFERROR(VLOOKUP(J30,Sheet1!$B$1:$C$24,2)*1,"")</f>
        <v/>
      </c>
      <c r="L30" s="1"/>
      <c r="M30" s="1"/>
    </row>
    <row r="31" spans="1:13" ht="16.5" customHeight="1">
      <c r="A31" s="1"/>
      <c r="B31" s="1"/>
      <c r="C31" s="10"/>
      <c r="D31" s="1"/>
      <c r="E31" s="1"/>
      <c r="F31" s="1"/>
      <c r="G31" s="1"/>
      <c r="H31" s="1"/>
      <c r="I31" s="5"/>
      <c r="J31" s="1"/>
      <c r="K31" s="1" t="str">
        <f>IFERROR(VLOOKUP(J31,Sheet1!$B$1:$C$24,2)*1,"")</f>
        <v/>
      </c>
      <c r="L31" s="1"/>
      <c r="M31" s="1"/>
    </row>
    <row r="32" spans="1:1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</sheetData>
  <phoneticPr fontId="6" type="noConversion"/>
  <pageMargins left="0.75" right="0.75" top="1" bottom="1" header="0" footer="0"/>
  <pageSetup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Sheet1!$A$1:$A$4</xm:f>
          </x14:formula1>
          <xm:sqref>E2:E31</xm:sqref>
        </x14:dataValidation>
        <x14:dataValidation type="list" allowBlank="1" showErrorMessage="1" xr:uid="{00000000-0002-0000-0000-000001000000}">
          <x14:formula1>
            <xm:f>Sheet1!$D$1:$D$3</xm:f>
          </x14:formula1>
          <xm:sqref>M2:M31</xm:sqref>
        </x14:dataValidation>
        <x14:dataValidation type="list" allowBlank="1" showErrorMessage="1" xr:uid="{00000000-0002-0000-0000-000002000000}">
          <x14:formula1>
            <xm:f>Sheet1!$B$1:$B$24</xm:f>
          </x14:formula1>
          <xm:sqref>J2:J31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>
      <selection activeCell="C4" sqref="C4"/>
    </sheetView>
  </sheetViews>
  <sheetFormatPr defaultColWidth="14.375" defaultRowHeight="15" customHeight="1"/>
  <cols>
    <col min="1" max="1" width="8.75" customWidth="1"/>
    <col min="2" max="3" width="21.25" customWidth="1"/>
    <col min="4" max="10" width="8.75" customWidth="1"/>
  </cols>
  <sheetData>
    <row r="1" spans="1:4" ht="16.5" customHeight="1">
      <c r="A1" t="s">
        <v>16</v>
      </c>
      <c r="B1" t="s">
        <v>17</v>
      </c>
      <c r="C1" s="6" t="s">
        <v>56</v>
      </c>
      <c r="D1" t="s">
        <v>12</v>
      </c>
    </row>
    <row r="2" spans="1:4" ht="16.5" customHeight="1">
      <c r="A2" t="s">
        <v>18</v>
      </c>
      <c r="B2" s="2" t="s">
        <v>19</v>
      </c>
      <c r="C2">
        <v>1095</v>
      </c>
      <c r="D2" t="s">
        <v>15</v>
      </c>
    </row>
    <row r="3" spans="1:4" ht="16.5" customHeight="1">
      <c r="A3" t="s">
        <v>13</v>
      </c>
      <c r="B3" t="s">
        <v>20</v>
      </c>
      <c r="C3">
        <v>1095</v>
      </c>
      <c r="D3" t="s">
        <v>21</v>
      </c>
    </row>
    <row r="4" spans="1:4" ht="16.5" customHeight="1">
      <c r="A4" t="s">
        <v>22</v>
      </c>
      <c r="B4" t="s">
        <v>27</v>
      </c>
      <c r="C4">
        <v>1825</v>
      </c>
    </row>
    <row r="5" spans="1:4" ht="16.5" customHeight="1">
      <c r="B5" t="s">
        <v>43</v>
      </c>
      <c r="C5">
        <v>1095</v>
      </c>
    </row>
    <row r="6" spans="1:4" ht="16.5" customHeight="1">
      <c r="B6" t="s">
        <v>40</v>
      </c>
      <c r="C6">
        <v>1095</v>
      </c>
    </row>
    <row r="7" spans="1:4" ht="16.5" customHeight="1">
      <c r="B7" t="s">
        <v>23</v>
      </c>
      <c r="C7">
        <v>1825</v>
      </c>
    </row>
    <row r="8" spans="1:4" ht="16.5" customHeight="1">
      <c r="B8" t="s">
        <v>38</v>
      </c>
      <c r="C8">
        <v>1095</v>
      </c>
    </row>
    <row r="9" spans="1:4" ht="16.5" customHeight="1">
      <c r="B9" t="s">
        <v>24</v>
      </c>
      <c r="C9">
        <v>1825</v>
      </c>
    </row>
    <row r="10" spans="1:4" ht="16.5" customHeight="1">
      <c r="B10" t="s">
        <v>25</v>
      </c>
      <c r="C10">
        <v>1095</v>
      </c>
    </row>
    <row r="11" spans="1:4" ht="16.5" customHeight="1">
      <c r="B11" t="s">
        <v>32</v>
      </c>
      <c r="C11">
        <v>1095</v>
      </c>
    </row>
    <row r="12" spans="1:4" ht="16.5" customHeight="1">
      <c r="B12" t="s">
        <v>42</v>
      </c>
      <c r="C12">
        <v>730</v>
      </c>
    </row>
    <row r="13" spans="1:4" ht="16.5" customHeight="1">
      <c r="B13" t="s">
        <v>36</v>
      </c>
      <c r="C13">
        <v>1095</v>
      </c>
    </row>
    <row r="14" spans="1:4" ht="16.5" customHeight="1">
      <c r="B14" t="s">
        <v>41</v>
      </c>
      <c r="C14">
        <v>730</v>
      </c>
    </row>
    <row r="15" spans="1:4" ht="16.5" customHeight="1">
      <c r="B15" t="s">
        <v>33</v>
      </c>
      <c r="C15">
        <v>730</v>
      </c>
    </row>
    <row r="16" spans="1:4" ht="16.5" customHeight="1">
      <c r="B16" t="s">
        <v>26</v>
      </c>
      <c r="C16">
        <v>1095</v>
      </c>
    </row>
    <row r="17" spans="2:3" ht="16.5" customHeight="1">
      <c r="B17" t="s">
        <v>39</v>
      </c>
      <c r="C17">
        <v>730</v>
      </c>
    </row>
    <row r="18" spans="2:3" ht="16.5" customHeight="1">
      <c r="B18" t="s">
        <v>30</v>
      </c>
      <c r="C18">
        <v>1460</v>
      </c>
    </row>
    <row r="19" spans="2:3" ht="16.5" customHeight="1">
      <c r="B19" t="s">
        <v>29</v>
      </c>
      <c r="C19">
        <v>1095</v>
      </c>
    </row>
    <row r="20" spans="2:3" ht="16.5" customHeight="1">
      <c r="B20" t="s">
        <v>31</v>
      </c>
      <c r="C20">
        <v>1460</v>
      </c>
    </row>
    <row r="21" spans="2:3" ht="16.5" customHeight="1">
      <c r="B21" t="s">
        <v>34</v>
      </c>
      <c r="C21">
        <v>730</v>
      </c>
    </row>
    <row r="22" spans="2:3" ht="16.5" customHeight="1">
      <c r="B22" t="s">
        <v>37</v>
      </c>
      <c r="C22">
        <v>730</v>
      </c>
    </row>
    <row r="23" spans="2:3" ht="16.5" customHeight="1">
      <c r="B23" t="s">
        <v>35</v>
      </c>
      <c r="C23">
        <v>730</v>
      </c>
    </row>
    <row r="24" spans="2:3" ht="16.5" customHeight="1">
      <c r="B24" t="s">
        <v>28</v>
      </c>
      <c r="C24">
        <v>1825</v>
      </c>
    </row>
    <row r="25" spans="2:3" ht="16.5" customHeight="1"/>
    <row r="26" spans="2:3" ht="16.5" customHeight="1"/>
    <row r="27" spans="2:3" ht="16.5" customHeight="1"/>
    <row r="28" spans="2:3" ht="16.5" customHeight="1"/>
    <row r="29" spans="2:3" ht="16.5" customHeight="1"/>
    <row r="30" spans="2:3" ht="16.5" customHeight="1"/>
    <row r="31" spans="2:3" ht="16.5" customHeight="1"/>
    <row r="32" spans="2: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honeticPr fontId="6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batch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태익 김</cp:lastModifiedBy>
  <dcterms:created xsi:type="dcterms:W3CDTF">2025-11-24T01:40:04Z</dcterms:created>
  <dcterms:modified xsi:type="dcterms:W3CDTF">2025-12-12T01:31:21Z</dcterms:modified>
</cp:coreProperties>
</file>